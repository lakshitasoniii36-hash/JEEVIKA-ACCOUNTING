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Rent Bills Register Report" sheetId="1" r:id="rId1"/>
  </sheets>
  <calcPr calcId="124519"/>
</workbook>
</file>

<file path=xl/calcChain.xml><?xml version="1.0" encoding="utf-8"?>
<calcChain xmlns="http://schemas.openxmlformats.org/spreadsheetml/2006/main">
  <c r="V201" i="1"/>
  <c r="U201"/>
  <c r="O201"/>
  <c r="N201"/>
  <c r="M201"/>
  <c r="L201"/>
  <c r="K201"/>
  <c r="J201"/>
  <c r="I201"/>
  <c r="H201"/>
  <c r="G201"/>
  <c r="F201"/>
  <c r="X43"/>
  <c r="Y43" s="1"/>
  <c r="W199"/>
  <c r="X199" s="1"/>
  <c r="Y199" s="1"/>
  <c r="W198"/>
  <c r="X198" s="1"/>
  <c r="Y198" s="1"/>
  <c r="W196"/>
  <c r="X196" s="1"/>
  <c r="Y196" s="1"/>
  <c r="W194"/>
  <c r="X194" s="1"/>
  <c r="Y194" s="1"/>
  <c r="W193"/>
  <c r="X193" s="1"/>
  <c r="Y193" s="1"/>
  <c r="W183"/>
  <c r="X183" s="1"/>
  <c r="Y183" s="1"/>
  <c r="W169"/>
  <c r="X169" s="1"/>
  <c r="Y169" s="1"/>
  <c r="W162"/>
  <c r="X162" s="1"/>
  <c r="Y162" s="1"/>
  <c r="W159"/>
  <c r="X159" s="1"/>
  <c r="Y159" s="1"/>
  <c r="W156"/>
  <c r="X156" s="1"/>
  <c r="Y156" s="1"/>
  <c r="W155"/>
  <c r="X155" s="1"/>
  <c r="Y155" s="1"/>
  <c r="W147"/>
  <c r="X147" s="1"/>
  <c r="Y147" s="1"/>
  <c r="W141"/>
  <c r="X141" s="1"/>
  <c r="Y141" s="1"/>
  <c r="W139"/>
  <c r="X139" s="1"/>
  <c r="Y139" s="1"/>
  <c r="W127"/>
  <c r="X127" s="1"/>
  <c r="Y127" s="1"/>
  <c r="W126"/>
  <c r="X126" s="1"/>
  <c r="Y126" s="1"/>
  <c r="W109"/>
  <c r="X109" s="1"/>
  <c r="Y109" s="1"/>
  <c r="W104"/>
  <c r="X104" s="1"/>
  <c r="Y104" s="1"/>
  <c r="W100"/>
  <c r="X100" s="1"/>
  <c r="Y100" s="1"/>
  <c r="W96"/>
  <c r="X96" s="1"/>
  <c r="Y96" s="1"/>
  <c r="W91"/>
  <c r="X91" s="1"/>
  <c r="Y91" s="1"/>
  <c r="W89"/>
  <c r="X89" s="1"/>
  <c r="Y89" s="1"/>
  <c r="W73"/>
  <c r="X73" s="1"/>
  <c r="Y73" s="1"/>
  <c r="W70"/>
  <c r="X70" s="1"/>
  <c r="Y70" s="1"/>
  <c r="W66"/>
  <c r="X66" s="1"/>
  <c r="Y66" s="1"/>
  <c r="W62"/>
  <c r="X62" s="1"/>
  <c r="Y62" s="1"/>
  <c r="W48"/>
  <c r="X48" s="1"/>
  <c r="Y48" s="1"/>
  <c r="W44"/>
  <c r="X44" s="1"/>
  <c r="Y44" s="1"/>
  <c r="W41"/>
  <c r="X41" s="1"/>
  <c r="Y41" s="1"/>
  <c r="W29"/>
  <c r="X29" s="1"/>
  <c r="Y29" s="1"/>
  <c r="W27"/>
  <c r="X27" s="1"/>
  <c r="Y27" s="1"/>
  <c r="W26"/>
  <c r="X26" s="1"/>
  <c r="Y26" s="1"/>
  <c r="W22"/>
  <c r="X22" s="1"/>
  <c r="Y22" s="1"/>
  <c r="W19"/>
  <c r="X19" s="1"/>
  <c r="Y19" s="1"/>
  <c r="W18"/>
  <c r="X18" s="1"/>
  <c r="Y18" s="1"/>
  <c r="W10"/>
  <c r="X10" s="1"/>
  <c r="Y10" s="1"/>
  <c r="W9"/>
  <c r="X9" s="1"/>
  <c r="Y9" s="1"/>
  <c r="Y201" s="1"/>
  <c r="Q200"/>
  <c r="R200" s="1"/>
  <c r="S200" s="1"/>
  <c r="P200"/>
  <c r="Q199"/>
  <c r="R199" s="1"/>
  <c r="S199" s="1"/>
  <c r="P199"/>
  <c r="Q198"/>
  <c r="R198" s="1"/>
  <c r="S198" s="1"/>
  <c r="P198"/>
  <c r="Q197"/>
  <c r="R197" s="1"/>
  <c r="S197" s="1"/>
  <c r="P197"/>
  <c r="Q196"/>
  <c r="R196" s="1"/>
  <c r="S196" s="1"/>
  <c r="P196"/>
  <c r="Q195"/>
  <c r="R195" s="1"/>
  <c r="S195" s="1"/>
  <c r="P195"/>
  <c r="Q194"/>
  <c r="R194" s="1"/>
  <c r="S194" s="1"/>
  <c r="P194"/>
  <c r="Q193"/>
  <c r="R193" s="1"/>
  <c r="S193" s="1"/>
  <c r="P193"/>
  <c r="Q192"/>
  <c r="R192" s="1"/>
  <c r="S192" s="1"/>
  <c r="P192"/>
  <c r="Q191"/>
  <c r="R191" s="1"/>
  <c r="S191" s="1"/>
  <c r="P191"/>
  <c r="Q190"/>
  <c r="R190" s="1"/>
  <c r="S190" s="1"/>
  <c r="P190"/>
  <c r="Q189"/>
  <c r="R189" s="1"/>
  <c r="S189" s="1"/>
  <c r="P189"/>
  <c r="Q188"/>
  <c r="R188" s="1"/>
  <c r="S188" s="1"/>
  <c r="P188"/>
  <c r="Q187"/>
  <c r="R187" s="1"/>
  <c r="S187" s="1"/>
  <c r="P187"/>
  <c r="Q186"/>
  <c r="R186" s="1"/>
  <c r="S186" s="1"/>
  <c r="P186"/>
  <c r="Q185"/>
  <c r="R185" s="1"/>
  <c r="S185" s="1"/>
  <c r="P185"/>
  <c r="Q184"/>
  <c r="R184" s="1"/>
  <c r="S184" s="1"/>
  <c r="P184"/>
  <c r="Q183"/>
  <c r="R183" s="1"/>
  <c r="S183" s="1"/>
  <c r="P183"/>
  <c r="Q182"/>
  <c r="R182" s="1"/>
  <c r="S182" s="1"/>
  <c r="P182"/>
  <c r="Q181"/>
  <c r="R181" s="1"/>
  <c r="S181" s="1"/>
  <c r="P181"/>
  <c r="Q180"/>
  <c r="R180" s="1"/>
  <c r="S180" s="1"/>
  <c r="P180"/>
  <c r="Q179"/>
  <c r="R179" s="1"/>
  <c r="S179" s="1"/>
  <c r="P179"/>
  <c r="Q178"/>
  <c r="R178" s="1"/>
  <c r="S178" s="1"/>
  <c r="P178"/>
  <c r="Q177"/>
  <c r="R177" s="1"/>
  <c r="S177" s="1"/>
  <c r="P177"/>
  <c r="Q176"/>
  <c r="R176" s="1"/>
  <c r="S176" s="1"/>
  <c r="P176"/>
  <c r="Q175"/>
  <c r="R175" s="1"/>
  <c r="S175" s="1"/>
  <c r="P175"/>
  <c r="Q174"/>
  <c r="R174" s="1"/>
  <c r="S174" s="1"/>
  <c r="P174"/>
  <c r="Q173"/>
  <c r="R173" s="1"/>
  <c r="S173" s="1"/>
  <c r="P173"/>
  <c r="Q172"/>
  <c r="R172" s="1"/>
  <c r="S172" s="1"/>
  <c r="P172"/>
  <c r="Q171"/>
  <c r="R171" s="1"/>
  <c r="S171" s="1"/>
  <c r="P171"/>
  <c r="Q170"/>
  <c r="R170" s="1"/>
  <c r="S170" s="1"/>
  <c r="P170"/>
  <c r="Q169"/>
  <c r="R169" s="1"/>
  <c r="S169" s="1"/>
  <c r="P169"/>
  <c r="Q168"/>
  <c r="R168" s="1"/>
  <c r="S168" s="1"/>
  <c r="P168"/>
  <c r="Q167"/>
  <c r="R167" s="1"/>
  <c r="S167" s="1"/>
  <c r="P167"/>
  <c r="Q166"/>
  <c r="R166" s="1"/>
  <c r="S166" s="1"/>
  <c r="P166"/>
  <c r="Q165"/>
  <c r="R165" s="1"/>
  <c r="S165" s="1"/>
  <c r="P165"/>
  <c r="Q164"/>
  <c r="R164" s="1"/>
  <c r="S164" s="1"/>
  <c r="P164"/>
  <c r="Q163"/>
  <c r="R163" s="1"/>
  <c r="S163" s="1"/>
  <c r="P163"/>
  <c r="Q162"/>
  <c r="R162" s="1"/>
  <c r="S162" s="1"/>
  <c r="P162"/>
  <c r="Q161"/>
  <c r="R161" s="1"/>
  <c r="S161" s="1"/>
  <c r="P161"/>
  <c r="Q160"/>
  <c r="R160" s="1"/>
  <c r="S160" s="1"/>
  <c r="P160"/>
  <c r="Q159"/>
  <c r="R159" s="1"/>
  <c r="S159" s="1"/>
  <c r="P159"/>
  <c r="Q158"/>
  <c r="R158" s="1"/>
  <c r="S158" s="1"/>
  <c r="P158"/>
  <c r="Q157"/>
  <c r="R157" s="1"/>
  <c r="S157" s="1"/>
  <c r="P157"/>
  <c r="Q156"/>
  <c r="R156" s="1"/>
  <c r="S156" s="1"/>
  <c r="P156"/>
  <c r="Q155"/>
  <c r="R155" s="1"/>
  <c r="S155" s="1"/>
  <c r="P155"/>
  <c r="Q154"/>
  <c r="R154" s="1"/>
  <c r="S154" s="1"/>
  <c r="P154"/>
  <c r="Q153"/>
  <c r="R153" s="1"/>
  <c r="S153" s="1"/>
  <c r="P153"/>
  <c r="Q152"/>
  <c r="R152" s="1"/>
  <c r="S152" s="1"/>
  <c r="P152"/>
  <c r="Q151"/>
  <c r="R151" s="1"/>
  <c r="S151" s="1"/>
  <c r="P151"/>
  <c r="Q150"/>
  <c r="R150" s="1"/>
  <c r="S150" s="1"/>
  <c r="P150"/>
  <c r="Q149"/>
  <c r="R149" s="1"/>
  <c r="S149" s="1"/>
  <c r="P149"/>
  <c r="Q148"/>
  <c r="R148" s="1"/>
  <c r="S148" s="1"/>
  <c r="P148"/>
  <c r="Q147"/>
  <c r="R147" s="1"/>
  <c r="S147" s="1"/>
  <c r="P147"/>
  <c r="Q146"/>
  <c r="R146" s="1"/>
  <c r="S146" s="1"/>
  <c r="P146"/>
  <c r="Q145"/>
  <c r="R145" s="1"/>
  <c r="S145" s="1"/>
  <c r="P145"/>
  <c r="Q144"/>
  <c r="R144" s="1"/>
  <c r="S144" s="1"/>
  <c r="P144"/>
  <c r="Q143"/>
  <c r="R143" s="1"/>
  <c r="S143" s="1"/>
  <c r="P143"/>
  <c r="Q142"/>
  <c r="R142" s="1"/>
  <c r="S142" s="1"/>
  <c r="P142"/>
  <c r="Q141"/>
  <c r="R141" s="1"/>
  <c r="S141" s="1"/>
  <c r="P141"/>
  <c r="Q140"/>
  <c r="R140" s="1"/>
  <c r="S140" s="1"/>
  <c r="P140"/>
  <c r="Q139"/>
  <c r="R139" s="1"/>
  <c r="S139" s="1"/>
  <c r="P139"/>
  <c r="Q138"/>
  <c r="R138" s="1"/>
  <c r="S138" s="1"/>
  <c r="P138"/>
  <c r="Q137"/>
  <c r="R137" s="1"/>
  <c r="S137" s="1"/>
  <c r="P137"/>
  <c r="Q136"/>
  <c r="R136" s="1"/>
  <c r="S136" s="1"/>
  <c r="P136"/>
  <c r="Q135"/>
  <c r="R135" s="1"/>
  <c r="S135" s="1"/>
  <c r="P135"/>
  <c r="Q134"/>
  <c r="R134" s="1"/>
  <c r="S134" s="1"/>
  <c r="P134"/>
  <c r="Q133"/>
  <c r="R133" s="1"/>
  <c r="S133" s="1"/>
  <c r="P133"/>
  <c r="Q132"/>
  <c r="R132" s="1"/>
  <c r="S132" s="1"/>
  <c r="P132"/>
  <c r="Q131"/>
  <c r="R131" s="1"/>
  <c r="S131" s="1"/>
  <c r="P131"/>
  <c r="Q130"/>
  <c r="R130" s="1"/>
  <c r="S130" s="1"/>
  <c r="P130"/>
  <c r="Q129"/>
  <c r="R129" s="1"/>
  <c r="S129" s="1"/>
  <c r="P129"/>
  <c r="Q128"/>
  <c r="R128" s="1"/>
  <c r="S128" s="1"/>
  <c r="P128"/>
  <c r="Q127"/>
  <c r="R127" s="1"/>
  <c r="S127" s="1"/>
  <c r="P127"/>
  <c r="Q126"/>
  <c r="R126" s="1"/>
  <c r="S126" s="1"/>
  <c r="P126"/>
  <c r="Q125"/>
  <c r="R125" s="1"/>
  <c r="S125" s="1"/>
  <c r="P125"/>
  <c r="Q124"/>
  <c r="R124" s="1"/>
  <c r="S124" s="1"/>
  <c r="P124"/>
  <c r="Q123"/>
  <c r="R123" s="1"/>
  <c r="S123" s="1"/>
  <c r="P123"/>
  <c r="Q122"/>
  <c r="R122" s="1"/>
  <c r="S122" s="1"/>
  <c r="P122"/>
  <c r="Q121"/>
  <c r="R121" s="1"/>
  <c r="S121" s="1"/>
  <c r="P121"/>
  <c r="Q120"/>
  <c r="R120" s="1"/>
  <c r="S120" s="1"/>
  <c r="P120"/>
  <c r="Q119"/>
  <c r="R119" s="1"/>
  <c r="S119" s="1"/>
  <c r="P119"/>
  <c r="Q118"/>
  <c r="R118" s="1"/>
  <c r="S118" s="1"/>
  <c r="P118"/>
  <c r="Q117"/>
  <c r="R117" s="1"/>
  <c r="S117" s="1"/>
  <c r="P117"/>
  <c r="Q116"/>
  <c r="R116" s="1"/>
  <c r="S116" s="1"/>
  <c r="P116"/>
  <c r="Q115"/>
  <c r="R115" s="1"/>
  <c r="S115" s="1"/>
  <c r="P115"/>
  <c r="Q114"/>
  <c r="R114" s="1"/>
  <c r="S114" s="1"/>
  <c r="P114"/>
  <c r="Q113"/>
  <c r="R113" s="1"/>
  <c r="S113" s="1"/>
  <c r="P113"/>
  <c r="Q112"/>
  <c r="R112" s="1"/>
  <c r="S112" s="1"/>
  <c r="P112"/>
  <c r="Q111"/>
  <c r="R111" s="1"/>
  <c r="S111" s="1"/>
  <c r="P111"/>
  <c r="Q110"/>
  <c r="R110" s="1"/>
  <c r="S110" s="1"/>
  <c r="P110"/>
  <c r="Q109"/>
  <c r="R109" s="1"/>
  <c r="S109" s="1"/>
  <c r="P109"/>
  <c r="Q108"/>
  <c r="R108" s="1"/>
  <c r="S108" s="1"/>
  <c r="P108"/>
  <c r="Q107"/>
  <c r="R107" s="1"/>
  <c r="S107" s="1"/>
  <c r="P107"/>
  <c r="Q106"/>
  <c r="R106" s="1"/>
  <c r="S106" s="1"/>
  <c r="P106"/>
  <c r="Q105"/>
  <c r="R105" s="1"/>
  <c r="S105" s="1"/>
  <c r="P105"/>
  <c r="Q104"/>
  <c r="R104" s="1"/>
  <c r="S104" s="1"/>
  <c r="P104"/>
  <c r="Q103"/>
  <c r="R103" s="1"/>
  <c r="S103" s="1"/>
  <c r="P103"/>
  <c r="Q102"/>
  <c r="R102" s="1"/>
  <c r="S102" s="1"/>
  <c r="P102"/>
  <c r="Q101"/>
  <c r="R101" s="1"/>
  <c r="S101" s="1"/>
  <c r="P101"/>
  <c r="Q100"/>
  <c r="R100" s="1"/>
  <c r="S100" s="1"/>
  <c r="P100"/>
  <c r="Q99"/>
  <c r="R99" s="1"/>
  <c r="S99" s="1"/>
  <c r="P99"/>
  <c r="Q98"/>
  <c r="R98" s="1"/>
  <c r="S98" s="1"/>
  <c r="P98"/>
  <c r="Q97"/>
  <c r="R97" s="1"/>
  <c r="S97" s="1"/>
  <c r="P97"/>
  <c r="Q96"/>
  <c r="R96" s="1"/>
  <c r="S96" s="1"/>
  <c r="P96"/>
  <c r="Q95"/>
  <c r="R95" s="1"/>
  <c r="S95" s="1"/>
  <c r="P95"/>
  <c r="Q94"/>
  <c r="R94" s="1"/>
  <c r="S94" s="1"/>
  <c r="P94"/>
  <c r="Q93"/>
  <c r="R93" s="1"/>
  <c r="S93" s="1"/>
  <c r="P93"/>
  <c r="Q92"/>
  <c r="R92" s="1"/>
  <c r="S92" s="1"/>
  <c r="P92"/>
  <c r="Q91"/>
  <c r="R91" s="1"/>
  <c r="S91" s="1"/>
  <c r="P91"/>
  <c r="Q90"/>
  <c r="R90" s="1"/>
  <c r="S90" s="1"/>
  <c r="P90"/>
  <c r="Q89"/>
  <c r="R89" s="1"/>
  <c r="S89" s="1"/>
  <c r="P89"/>
  <c r="Q88"/>
  <c r="R88" s="1"/>
  <c r="S88" s="1"/>
  <c r="P88"/>
  <c r="Q87"/>
  <c r="R87" s="1"/>
  <c r="S87" s="1"/>
  <c r="P87"/>
  <c r="Q86"/>
  <c r="R86" s="1"/>
  <c r="S86" s="1"/>
  <c r="P86"/>
  <c r="Q85"/>
  <c r="R85" s="1"/>
  <c r="S85" s="1"/>
  <c r="P85"/>
  <c r="Q84"/>
  <c r="R84" s="1"/>
  <c r="S84" s="1"/>
  <c r="P84"/>
  <c r="Q83"/>
  <c r="R83" s="1"/>
  <c r="S83" s="1"/>
  <c r="P83"/>
  <c r="Q82"/>
  <c r="R82" s="1"/>
  <c r="S82" s="1"/>
  <c r="P82"/>
  <c r="Q81"/>
  <c r="R81" s="1"/>
  <c r="S81" s="1"/>
  <c r="P81"/>
  <c r="Q80"/>
  <c r="R80" s="1"/>
  <c r="S80" s="1"/>
  <c r="P80"/>
  <c r="Q79"/>
  <c r="R79" s="1"/>
  <c r="S79" s="1"/>
  <c r="P79"/>
  <c r="Q78"/>
  <c r="R78" s="1"/>
  <c r="S78" s="1"/>
  <c r="P78"/>
  <c r="Q77"/>
  <c r="R77" s="1"/>
  <c r="S77" s="1"/>
  <c r="P77"/>
  <c r="Q76"/>
  <c r="R76" s="1"/>
  <c r="S76" s="1"/>
  <c r="P76"/>
  <c r="Q75"/>
  <c r="R75" s="1"/>
  <c r="S75" s="1"/>
  <c r="P75"/>
  <c r="Q74"/>
  <c r="R74" s="1"/>
  <c r="S74" s="1"/>
  <c r="P74"/>
  <c r="Q73"/>
  <c r="R73" s="1"/>
  <c r="S73" s="1"/>
  <c r="P73"/>
  <c r="Q72"/>
  <c r="R72" s="1"/>
  <c r="S72" s="1"/>
  <c r="P72"/>
  <c r="Q71"/>
  <c r="R71" s="1"/>
  <c r="S71" s="1"/>
  <c r="P71"/>
  <c r="Q70"/>
  <c r="R70" s="1"/>
  <c r="S70" s="1"/>
  <c r="P70"/>
  <c r="Q69"/>
  <c r="R69" s="1"/>
  <c r="S69" s="1"/>
  <c r="P69"/>
  <c r="Q68"/>
  <c r="R68" s="1"/>
  <c r="S68" s="1"/>
  <c r="P68"/>
  <c r="Q67"/>
  <c r="R67" s="1"/>
  <c r="S67" s="1"/>
  <c r="P67"/>
  <c r="Q66"/>
  <c r="R66" s="1"/>
  <c r="S66" s="1"/>
  <c r="P66"/>
  <c r="Q65"/>
  <c r="R65" s="1"/>
  <c r="S65" s="1"/>
  <c r="P65"/>
  <c r="Q64"/>
  <c r="R64" s="1"/>
  <c r="S64" s="1"/>
  <c r="P64"/>
  <c r="Q63"/>
  <c r="R63" s="1"/>
  <c r="S63" s="1"/>
  <c r="P63"/>
  <c r="Q62"/>
  <c r="R62" s="1"/>
  <c r="S62" s="1"/>
  <c r="P62"/>
  <c r="Q61"/>
  <c r="R61" s="1"/>
  <c r="S61" s="1"/>
  <c r="P61"/>
  <c r="Q60"/>
  <c r="R60" s="1"/>
  <c r="S60" s="1"/>
  <c r="P60"/>
  <c r="Q59"/>
  <c r="R59" s="1"/>
  <c r="S59" s="1"/>
  <c r="P59"/>
  <c r="Q58"/>
  <c r="R58" s="1"/>
  <c r="S58" s="1"/>
  <c r="P58"/>
  <c r="Q57"/>
  <c r="R57" s="1"/>
  <c r="S57" s="1"/>
  <c r="P57"/>
  <c r="Q56"/>
  <c r="R56" s="1"/>
  <c r="S56" s="1"/>
  <c r="P56"/>
  <c r="Q55"/>
  <c r="R55" s="1"/>
  <c r="S55" s="1"/>
  <c r="P55"/>
  <c r="Q54"/>
  <c r="R54" s="1"/>
  <c r="S54" s="1"/>
  <c r="P54"/>
  <c r="Q53"/>
  <c r="R53" s="1"/>
  <c r="S53" s="1"/>
  <c r="P53"/>
  <c r="Q52"/>
  <c r="R52" s="1"/>
  <c r="S52" s="1"/>
  <c r="P52"/>
  <c r="Q51"/>
  <c r="R51" s="1"/>
  <c r="S51" s="1"/>
  <c r="P51"/>
  <c r="Q50"/>
  <c r="R50" s="1"/>
  <c r="S50" s="1"/>
  <c r="P50"/>
  <c r="Q49"/>
  <c r="R49" s="1"/>
  <c r="S49" s="1"/>
  <c r="P49"/>
  <c r="Q48"/>
  <c r="R48" s="1"/>
  <c r="S48" s="1"/>
  <c r="P48"/>
  <c r="Q47"/>
  <c r="R47" s="1"/>
  <c r="S47" s="1"/>
  <c r="P47"/>
  <c r="Q46"/>
  <c r="R46" s="1"/>
  <c r="S46" s="1"/>
  <c r="P46"/>
  <c r="Q45"/>
  <c r="R45" s="1"/>
  <c r="S45" s="1"/>
  <c r="P45"/>
  <c r="Q44"/>
  <c r="R44" s="1"/>
  <c r="S44" s="1"/>
  <c r="P44"/>
  <c r="Q43"/>
  <c r="R43" s="1"/>
  <c r="S43" s="1"/>
  <c r="P43"/>
  <c r="Q42"/>
  <c r="R42" s="1"/>
  <c r="S42" s="1"/>
  <c r="P42"/>
  <c r="Q41"/>
  <c r="R41" s="1"/>
  <c r="S41" s="1"/>
  <c r="P41"/>
  <c r="Q40"/>
  <c r="R40" s="1"/>
  <c r="S40" s="1"/>
  <c r="P40"/>
  <c r="Q39"/>
  <c r="R39" s="1"/>
  <c r="S39" s="1"/>
  <c r="P39"/>
  <c r="Q38"/>
  <c r="R38" s="1"/>
  <c r="S38" s="1"/>
  <c r="P38"/>
  <c r="Q37"/>
  <c r="R37" s="1"/>
  <c r="S37" s="1"/>
  <c r="P37"/>
  <c r="Q36"/>
  <c r="R36" s="1"/>
  <c r="S36" s="1"/>
  <c r="P36"/>
  <c r="Q35"/>
  <c r="R35" s="1"/>
  <c r="S35" s="1"/>
  <c r="P35"/>
  <c r="Q34"/>
  <c r="R34" s="1"/>
  <c r="S34" s="1"/>
  <c r="P34"/>
  <c r="Q33"/>
  <c r="R33" s="1"/>
  <c r="S33" s="1"/>
  <c r="P33"/>
  <c r="Q32"/>
  <c r="R32" s="1"/>
  <c r="S32" s="1"/>
  <c r="P32"/>
  <c r="Q31"/>
  <c r="R31" s="1"/>
  <c r="S31" s="1"/>
  <c r="P31"/>
  <c r="Q30"/>
  <c r="R30" s="1"/>
  <c r="S30" s="1"/>
  <c r="P30"/>
  <c r="Q29"/>
  <c r="R29" s="1"/>
  <c r="S29" s="1"/>
  <c r="P29"/>
  <c r="Q28"/>
  <c r="R28" s="1"/>
  <c r="S28" s="1"/>
  <c r="P28"/>
  <c r="Q27"/>
  <c r="R27" s="1"/>
  <c r="S27" s="1"/>
  <c r="P27"/>
  <c r="Q26"/>
  <c r="R26" s="1"/>
  <c r="S26" s="1"/>
  <c r="P26"/>
  <c r="Q25"/>
  <c r="R25" s="1"/>
  <c r="S25" s="1"/>
  <c r="P25"/>
  <c r="Q24"/>
  <c r="R24" s="1"/>
  <c r="S24" s="1"/>
  <c r="P24"/>
  <c r="Q23"/>
  <c r="R23" s="1"/>
  <c r="S23" s="1"/>
  <c r="P23"/>
  <c r="Q22"/>
  <c r="R22" s="1"/>
  <c r="S22" s="1"/>
  <c r="P22"/>
  <c r="Q21"/>
  <c r="R21" s="1"/>
  <c r="S21" s="1"/>
  <c r="P21"/>
  <c r="Q20"/>
  <c r="R20" s="1"/>
  <c r="S20" s="1"/>
  <c r="P20"/>
  <c r="Q19"/>
  <c r="R19" s="1"/>
  <c r="S19" s="1"/>
  <c r="P19"/>
  <c r="Q18"/>
  <c r="R18" s="1"/>
  <c r="S18" s="1"/>
  <c r="P18"/>
  <c r="Q17"/>
  <c r="R17" s="1"/>
  <c r="S17" s="1"/>
  <c r="P17"/>
  <c r="Q16"/>
  <c r="R16" s="1"/>
  <c r="S16" s="1"/>
  <c r="P16"/>
  <c r="Q15"/>
  <c r="R15" s="1"/>
  <c r="S15" s="1"/>
  <c r="P15"/>
  <c r="Q14"/>
  <c r="R14" s="1"/>
  <c r="S14" s="1"/>
  <c r="P14"/>
  <c r="Q13"/>
  <c r="R13" s="1"/>
  <c r="S13" s="1"/>
  <c r="P13"/>
  <c r="Q12"/>
  <c r="R12" s="1"/>
  <c r="S12" s="1"/>
  <c r="P12"/>
  <c r="Q11"/>
  <c r="R11" s="1"/>
  <c r="S11" s="1"/>
  <c r="P11"/>
  <c r="Q10"/>
  <c r="R10" s="1"/>
  <c r="S10" s="1"/>
  <c r="P10"/>
  <c r="Q9"/>
  <c r="R9" s="1"/>
  <c r="S9" s="1"/>
  <c r="P9"/>
  <c r="Q8"/>
  <c r="R8" s="1"/>
  <c r="S8" s="1"/>
  <c r="P8"/>
  <c r="Q7"/>
  <c r="R7" s="1"/>
  <c r="S7" s="1"/>
  <c r="P7"/>
  <c r="P201" s="1"/>
  <c r="S201" l="1"/>
  <c r="Q201"/>
  <c r="W201"/>
  <c r="R201"/>
  <c r="X201"/>
  <c r="T8"/>
  <c r="Z8" s="1"/>
  <c r="T10"/>
  <c r="Z10" s="1"/>
  <c r="T12"/>
  <c r="Z12" s="1"/>
  <c r="T14"/>
  <c r="Z14" s="1"/>
  <c r="T16"/>
  <c r="Z16" s="1"/>
  <c r="T18"/>
  <c r="Z18" s="1"/>
  <c r="T20"/>
  <c r="Z20" s="1"/>
  <c r="T22"/>
  <c r="Z22" s="1"/>
  <c r="T24"/>
  <c r="Z24" s="1"/>
  <c r="T26"/>
  <c r="Z26" s="1"/>
  <c r="T28"/>
  <c r="Z28" s="1"/>
  <c r="T30"/>
  <c r="Z30" s="1"/>
  <c r="T32"/>
  <c r="Z32" s="1"/>
  <c r="T34"/>
  <c r="Z34" s="1"/>
  <c r="T36"/>
  <c r="Z36" s="1"/>
  <c r="T38"/>
  <c r="Z38" s="1"/>
  <c r="T40"/>
  <c r="Z40" s="1"/>
  <c r="T42"/>
  <c r="Z42" s="1"/>
  <c r="T44"/>
  <c r="Z44" s="1"/>
  <c r="T46"/>
  <c r="Z46" s="1"/>
  <c r="T48"/>
  <c r="Z48" s="1"/>
  <c r="T50"/>
  <c r="Z50" s="1"/>
  <c r="T52"/>
  <c r="Z52" s="1"/>
  <c r="T54"/>
  <c r="Z54" s="1"/>
  <c r="T56"/>
  <c r="Z56" s="1"/>
  <c r="T58"/>
  <c r="Z58" s="1"/>
  <c r="T60"/>
  <c r="Z60" s="1"/>
  <c r="T62"/>
  <c r="Z62" s="1"/>
  <c r="T64"/>
  <c r="Z64" s="1"/>
  <c r="T66"/>
  <c r="Z66" s="1"/>
  <c r="T68"/>
  <c r="Z68" s="1"/>
  <c r="T70"/>
  <c r="Z70" s="1"/>
  <c r="T72"/>
  <c r="Z72" s="1"/>
  <c r="T74"/>
  <c r="Z74" s="1"/>
  <c r="T76"/>
  <c r="Z76" s="1"/>
  <c r="T78"/>
  <c r="Z78" s="1"/>
  <c r="T80"/>
  <c r="Z80" s="1"/>
  <c r="T82"/>
  <c r="Z82" s="1"/>
  <c r="T84"/>
  <c r="Z84" s="1"/>
  <c r="T86"/>
  <c r="Z86" s="1"/>
  <c r="T88"/>
  <c r="Z88" s="1"/>
  <c r="T90"/>
  <c r="Z90" s="1"/>
  <c r="T92"/>
  <c r="Z92" s="1"/>
  <c r="T94"/>
  <c r="Z94" s="1"/>
  <c r="T96"/>
  <c r="Z96" s="1"/>
  <c r="T98"/>
  <c r="Z98" s="1"/>
  <c r="T100"/>
  <c r="Z100" s="1"/>
  <c r="T102"/>
  <c r="Z102" s="1"/>
  <c r="T104"/>
  <c r="Z104" s="1"/>
  <c r="T106"/>
  <c r="Z106" s="1"/>
  <c r="T108"/>
  <c r="Z108" s="1"/>
  <c r="T110"/>
  <c r="Z110" s="1"/>
  <c r="T112"/>
  <c r="Z112" s="1"/>
  <c r="T114"/>
  <c r="Z114" s="1"/>
  <c r="T116"/>
  <c r="Z116" s="1"/>
  <c r="T118"/>
  <c r="Z118" s="1"/>
  <c r="T120"/>
  <c r="Z120" s="1"/>
  <c r="T122"/>
  <c r="Z122" s="1"/>
  <c r="T124"/>
  <c r="Z124" s="1"/>
  <c r="T126"/>
  <c r="Z126" s="1"/>
  <c r="T128"/>
  <c r="Z128" s="1"/>
  <c r="T130"/>
  <c r="Z130" s="1"/>
  <c r="T132"/>
  <c r="Z132" s="1"/>
  <c r="T134"/>
  <c r="Z134" s="1"/>
  <c r="T136"/>
  <c r="Z136" s="1"/>
  <c r="T138"/>
  <c r="Z138" s="1"/>
  <c r="T140"/>
  <c r="Z140" s="1"/>
  <c r="T142"/>
  <c r="Z142" s="1"/>
  <c r="T144"/>
  <c r="Z144" s="1"/>
  <c r="T146"/>
  <c r="Z146" s="1"/>
  <c r="T148"/>
  <c r="Z148" s="1"/>
  <c r="T150"/>
  <c r="Z150" s="1"/>
  <c r="T152"/>
  <c r="Z152" s="1"/>
  <c r="T154"/>
  <c r="Z154" s="1"/>
  <c r="T156"/>
  <c r="Z156" s="1"/>
  <c r="T158"/>
  <c r="Z158" s="1"/>
  <c r="T160"/>
  <c r="Z160" s="1"/>
  <c r="T162"/>
  <c r="Z162" s="1"/>
  <c r="T164"/>
  <c r="Z164" s="1"/>
  <c r="T166"/>
  <c r="Z166" s="1"/>
  <c r="T168"/>
  <c r="Z168" s="1"/>
  <c r="T170"/>
  <c r="Z170" s="1"/>
  <c r="T172"/>
  <c r="Z172" s="1"/>
  <c r="T174"/>
  <c r="Z174" s="1"/>
  <c r="T176"/>
  <c r="Z176" s="1"/>
  <c r="T178"/>
  <c r="Z178" s="1"/>
  <c r="T180"/>
  <c r="Z180" s="1"/>
  <c r="T182"/>
  <c r="Z182" s="1"/>
  <c r="T184"/>
  <c r="Z184" s="1"/>
  <c r="T186"/>
  <c r="Z186" s="1"/>
  <c r="T188"/>
  <c r="Z188" s="1"/>
  <c r="T190"/>
  <c r="Z190" s="1"/>
  <c r="T192"/>
  <c r="Z192" s="1"/>
  <c r="T194"/>
  <c r="Z194" s="1"/>
  <c r="T196"/>
  <c r="Z196" s="1"/>
  <c r="T198"/>
  <c r="Z198" s="1"/>
  <c r="T200"/>
  <c r="Z200" s="1"/>
  <c r="T7"/>
  <c r="T9"/>
  <c r="Z9" s="1"/>
  <c r="T11"/>
  <c r="Z11" s="1"/>
  <c r="T13"/>
  <c r="Z13" s="1"/>
  <c r="T15"/>
  <c r="Z15" s="1"/>
  <c r="T17"/>
  <c r="Z17" s="1"/>
  <c r="T19"/>
  <c r="Z19" s="1"/>
  <c r="T21"/>
  <c r="Z21" s="1"/>
  <c r="T23"/>
  <c r="Z23" s="1"/>
  <c r="T25"/>
  <c r="Z25" s="1"/>
  <c r="T27"/>
  <c r="Z27" s="1"/>
  <c r="T29"/>
  <c r="Z29" s="1"/>
  <c r="T31"/>
  <c r="Z31" s="1"/>
  <c r="T33"/>
  <c r="Z33" s="1"/>
  <c r="T35"/>
  <c r="Z35" s="1"/>
  <c r="T37"/>
  <c r="Z37" s="1"/>
  <c r="T39"/>
  <c r="Z39" s="1"/>
  <c r="T41"/>
  <c r="Z41" s="1"/>
  <c r="T43"/>
  <c r="Z43" s="1"/>
  <c r="T45"/>
  <c r="Z45" s="1"/>
  <c r="T47"/>
  <c r="Z47" s="1"/>
  <c r="T49"/>
  <c r="Z49" s="1"/>
  <c r="T51"/>
  <c r="Z51" s="1"/>
  <c r="T53"/>
  <c r="Z53" s="1"/>
  <c r="T55"/>
  <c r="Z55" s="1"/>
  <c r="T57"/>
  <c r="Z57" s="1"/>
  <c r="T59"/>
  <c r="Z59" s="1"/>
  <c r="T61"/>
  <c r="Z61" s="1"/>
  <c r="T63"/>
  <c r="Z63" s="1"/>
  <c r="T65"/>
  <c r="Z65" s="1"/>
  <c r="T67"/>
  <c r="Z67" s="1"/>
  <c r="T69"/>
  <c r="Z69" s="1"/>
  <c r="T71"/>
  <c r="Z71" s="1"/>
  <c r="T73"/>
  <c r="Z73" s="1"/>
  <c r="T75"/>
  <c r="Z75" s="1"/>
  <c r="T77"/>
  <c r="Z77" s="1"/>
  <c r="T79"/>
  <c r="Z79" s="1"/>
  <c r="T81"/>
  <c r="Z81" s="1"/>
  <c r="T83"/>
  <c r="Z83" s="1"/>
  <c r="T85"/>
  <c r="Z85" s="1"/>
  <c r="T87"/>
  <c r="Z87" s="1"/>
  <c r="T89"/>
  <c r="Z89" s="1"/>
  <c r="T91"/>
  <c r="Z91" s="1"/>
  <c r="T93"/>
  <c r="Z93" s="1"/>
  <c r="T95"/>
  <c r="Z95" s="1"/>
  <c r="T97"/>
  <c r="Z97" s="1"/>
  <c r="T99"/>
  <c r="Z99" s="1"/>
  <c r="T101"/>
  <c r="Z101" s="1"/>
  <c r="T103"/>
  <c r="Z103" s="1"/>
  <c r="T105"/>
  <c r="Z105" s="1"/>
  <c r="T107"/>
  <c r="Z107" s="1"/>
  <c r="T109"/>
  <c r="Z109" s="1"/>
  <c r="T111"/>
  <c r="Z111" s="1"/>
  <c r="T113"/>
  <c r="Z113" s="1"/>
  <c r="T115"/>
  <c r="Z115" s="1"/>
  <c r="T117"/>
  <c r="Z117" s="1"/>
  <c r="T119"/>
  <c r="Z119" s="1"/>
  <c r="T121"/>
  <c r="Z121" s="1"/>
  <c r="T123"/>
  <c r="Z123" s="1"/>
  <c r="T125"/>
  <c r="Z125" s="1"/>
  <c r="T127"/>
  <c r="Z127" s="1"/>
  <c r="T129"/>
  <c r="Z129" s="1"/>
  <c r="T131"/>
  <c r="Z131" s="1"/>
  <c r="T133"/>
  <c r="Z133" s="1"/>
  <c r="T135"/>
  <c r="Z135" s="1"/>
  <c r="T137"/>
  <c r="Z137" s="1"/>
  <c r="T139"/>
  <c r="Z139" s="1"/>
  <c r="T141"/>
  <c r="Z141" s="1"/>
  <c r="T143"/>
  <c r="Z143" s="1"/>
  <c r="T145"/>
  <c r="Z145" s="1"/>
  <c r="T147"/>
  <c r="Z147" s="1"/>
  <c r="T149"/>
  <c r="Z149" s="1"/>
  <c r="T151"/>
  <c r="Z151" s="1"/>
  <c r="T153"/>
  <c r="Z153" s="1"/>
  <c r="T155"/>
  <c r="Z155" s="1"/>
  <c r="T157"/>
  <c r="Z157" s="1"/>
  <c r="T159"/>
  <c r="Z159" s="1"/>
  <c r="T161"/>
  <c r="Z161" s="1"/>
  <c r="T163"/>
  <c r="Z163" s="1"/>
  <c r="T165"/>
  <c r="Z165" s="1"/>
  <c r="T167"/>
  <c r="Z167" s="1"/>
  <c r="T169"/>
  <c r="Z169" s="1"/>
  <c r="T171"/>
  <c r="Z171" s="1"/>
  <c r="T173"/>
  <c r="Z173" s="1"/>
  <c r="T175"/>
  <c r="Z175" s="1"/>
  <c r="T177"/>
  <c r="Z177" s="1"/>
  <c r="T179"/>
  <c r="Z179" s="1"/>
  <c r="T181"/>
  <c r="Z181" s="1"/>
  <c r="T183"/>
  <c r="Z183" s="1"/>
  <c r="T185"/>
  <c r="Z185" s="1"/>
  <c r="T187"/>
  <c r="Z187" s="1"/>
  <c r="T189"/>
  <c r="Z189" s="1"/>
  <c r="T191"/>
  <c r="Z191" s="1"/>
  <c r="T193"/>
  <c r="Z193" s="1"/>
  <c r="T195"/>
  <c r="Z195" s="1"/>
  <c r="T197"/>
  <c r="Z197" s="1"/>
  <c r="T199"/>
  <c r="Z199" s="1"/>
  <c r="Z7" l="1"/>
  <c r="Z201" s="1"/>
  <c r="Z203" s="1"/>
  <c r="T201"/>
</calcChain>
</file>

<file path=xl/sharedStrings.xml><?xml version="1.0" encoding="utf-8"?>
<sst xmlns="http://schemas.openxmlformats.org/spreadsheetml/2006/main" count="808" uniqueCount="615">
  <si>
    <t>SHREE SAI USHA COMPLEX CO-OP.HSG.SOC.LTD .</t>
  </si>
  <si>
    <t>GSTIN Number</t>
  </si>
  <si>
    <t>PROPERTY TAX COLL.</t>
  </si>
  <si>
    <t>SINKING FUND COLL.</t>
  </si>
  <si>
    <t>SERVICE CHARGES</t>
  </si>
  <si>
    <t>WATER CHARGES</t>
  </si>
  <si>
    <t>ELECTRICITY CHARGES</t>
  </si>
  <si>
    <t>PARKING COLL.</t>
  </si>
  <si>
    <t>REPAIR &amp; MAINT.FUND COLL.</t>
  </si>
  <si>
    <t>N.A.TAX COLL.</t>
  </si>
  <si>
    <t>ARREARS OF N.A.TAX (AUG.2006 TO JULY.2020)</t>
  </si>
  <si>
    <t>CGST @ 9%</t>
  </si>
  <si>
    <t>SGST @ 9%</t>
  </si>
  <si>
    <t>NON OCCUPANCY CHARGES</t>
  </si>
  <si>
    <t>Sub Total</t>
  </si>
  <si>
    <t>Principal Arrears</t>
  </si>
  <si>
    <t>Accumulated Interest Arrears</t>
  </si>
  <si>
    <t>Interest</t>
  </si>
  <si>
    <t>CGST on Interest</t>
  </si>
  <si>
    <t>SGST on Interest</t>
  </si>
  <si>
    <t>Total Amount</t>
  </si>
  <si>
    <t>1</t>
  </si>
  <si>
    <t>DHANAJI S.PALKAR(G-101)</t>
  </si>
  <si>
    <t>G-101</t>
  </si>
  <si>
    <t/>
  </si>
  <si>
    <t>UNREGISTERED</t>
  </si>
  <si>
    <t>2</t>
  </si>
  <si>
    <t>VISHAL A.DIVEKAR(G-102)</t>
  </si>
  <si>
    <t>G-102</t>
  </si>
  <si>
    <t>3</t>
  </si>
  <si>
    <t>SAMBHAJI S.KEDAR(G-103)</t>
  </si>
  <si>
    <t>G-103</t>
  </si>
  <si>
    <t>4</t>
  </si>
  <si>
    <t>MAHANANDA S.KEDAR(G-104)</t>
  </si>
  <si>
    <t>G-104</t>
  </si>
  <si>
    <t>5</t>
  </si>
  <si>
    <t>SURYAKANT M.SHINGRE(G-201)</t>
  </si>
  <si>
    <t>G-201</t>
  </si>
  <si>
    <t>6</t>
  </si>
  <si>
    <t>AARTI BHOSALE &amp; SAGAR BHOSALE(G-202)</t>
  </si>
  <si>
    <t>G-202</t>
  </si>
  <si>
    <t>7</t>
  </si>
  <si>
    <t>SIMON JOHN ISSAC(G-203)</t>
  </si>
  <si>
    <t>G-203</t>
  </si>
  <si>
    <t>8</t>
  </si>
  <si>
    <t>SITARAM M.KASHID(G-204)</t>
  </si>
  <si>
    <t>G-204</t>
  </si>
  <si>
    <t>9</t>
  </si>
  <si>
    <t>ADARSH D.GAONKAR(G-301)</t>
  </si>
  <si>
    <t>G-301</t>
  </si>
  <si>
    <t>10</t>
  </si>
  <si>
    <t>ANIL DNYANU GHORPADE(G-302)</t>
  </si>
  <si>
    <t>G-302</t>
  </si>
  <si>
    <t>11</t>
  </si>
  <si>
    <t>BHUSHAN S.GUJARE(G-303)</t>
  </si>
  <si>
    <t>G-303</t>
  </si>
  <si>
    <t>12</t>
  </si>
  <si>
    <t>RAKESH R.PANDEY &amp; MRS.NIRMALA RAMCHANDRA PANDEY(G-304)</t>
  </si>
  <si>
    <t>G-304</t>
  </si>
  <si>
    <t>13</t>
  </si>
  <si>
    <t>SURESH SHREEDHARAN(G-401)</t>
  </si>
  <si>
    <t>G-401</t>
  </si>
  <si>
    <t>14</t>
  </si>
  <si>
    <t>ARUNA A.KHARAT(G-402)</t>
  </si>
  <si>
    <t>G-402</t>
  </si>
  <si>
    <t>15</t>
  </si>
  <si>
    <t>SHOBHA R.SHIRSAT(G-403)</t>
  </si>
  <si>
    <t>G-403</t>
  </si>
  <si>
    <t>16</t>
  </si>
  <si>
    <t>SEETA R.UGALE(G-404)</t>
  </si>
  <si>
    <t>G-404</t>
  </si>
  <si>
    <t>17</t>
  </si>
  <si>
    <t>VIPUL V.NAGDA(G-501)</t>
  </si>
  <si>
    <t>G-501</t>
  </si>
  <si>
    <t>18</t>
  </si>
  <si>
    <t>GOVIND P.PAWAR(G-502)</t>
  </si>
  <si>
    <t>G-502</t>
  </si>
  <si>
    <t>19</t>
  </si>
  <si>
    <t>SMT.ARUNA N. SAWANT(G-503)</t>
  </si>
  <si>
    <t>G-503</t>
  </si>
  <si>
    <t>20</t>
  </si>
  <si>
    <t>TRUPTI K.PEREKAR(G-504)</t>
  </si>
  <si>
    <t>G-504</t>
  </si>
  <si>
    <t>21</t>
  </si>
  <si>
    <t>SHALINI M.SABLE(G-601)</t>
  </si>
  <si>
    <t>G-601</t>
  </si>
  <si>
    <t>22</t>
  </si>
  <si>
    <t>LAXMINARAYAN D.RAO(G-602)</t>
  </si>
  <si>
    <t>G-602</t>
  </si>
  <si>
    <t>23</t>
  </si>
  <si>
    <t>MUKUNDRAO D.BHOSLE(G-603)</t>
  </si>
  <si>
    <t>G-603</t>
  </si>
  <si>
    <t>24</t>
  </si>
  <si>
    <t>ROHIDAS S.VICHARE(G-604)</t>
  </si>
  <si>
    <t>G-604</t>
  </si>
  <si>
    <t>25</t>
  </si>
  <si>
    <t>TRISHLA FABRICS PVT. LTD.(G-701)</t>
  </si>
  <si>
    <t>G-701</t>
  </si>
  <si>
    <t>26</t>
  </si>
  <si>
    <t>SHUBHANGI M.VEDAK(G-702)</t>
  </si>
  <si>
    <t>G-702</t>
  </si>
  <si>
    <t>27</t>
  </si>
  <si>
    <t>PRADEEP Y.KALE(G-703)</t>
  </si>
  <si>
    <t>G-703</t>
  </si>
  <si>
    <t>28</t>
  </si>
  <si>
    <t>NITIN R.LABDE(G-704)</t>
  </si>
  <si>
    <t>G-704</t>
  </si>
  <si>
    <t>29</t>
  </si>
  <si>
    <t>SUDHAKAR B.SAWANT(G-801)</t>
  </si>
  <si>
    <t>G-801</t>
  </si>
  <si>
    <t>30</t>
  </si>
  <si>
    <t>VINOD B.KALE(G-802)</t>
  </si>
  <si>
    <t>G-802</t>
  </si>
  <si>
    <t>31</t>
  </si>
  <si>
    <t>PRATIK RAMDAS BHOSLE(G-803)</t>
  </si>
  <si>
    <t>G-803</t>
  </si>
  <si>
    <t>32</t>
  </si>
  <si>
    <t>SAMEER S.SAWANT &amp; MRS.SWARA S.SAWANT(G-804)</t>
  </si>
  <si>
    <t>G-804</t>
  </si>
  <si>
    <t>33</t>
  </si>
  <si>
    <t>SHANTARAM B.SAWANT(H-101)</t>
  </si>
  <si>
    <t>H-101</t>
  </si>
  <si>
    <t>34</t>
  </si>
  <si>
    <t>DASHRATH S.KARALKAR(H-102)</t>
  </si>
  <si>
    <t>H-102</t>
  </si>
  <si>
    <t>35</t>
  </si>
  <si>
    <t>SHREEPAD R.HIRLEKAR(H-103)</t>
  </si>
  <si>
    <t>H-103</t>
  </si>
  <si>
    <t>36</t>
  </si>
  <si>
    <t>ABHIMANYU SINGH(H-104)</t>
  </si>
  <si>
    <t>H-104</t>
  </si>
  <si>
    <t>37</t>
  </si>
  <si>
    <t>SNEHA S.PAWAR &amp; SUNIL B.PAWAR(H-201)</t>
  </si>
  <si>
    <t>H-201</t>
  </si>
  <si>
    <t>38</t>
  </si>
  <si>
    <t>SHATRUGAN J.SINGH &amp;  MRS.TARADEVI S.SINGH(H-202)</t>
  </si>
  <si>
    <t>H-202</t>
  </si>
  <si>
    <t>39</t>
  </si>
  <si>
    <t>SAJAKA J.KADAM(H-203)</t>
  </si>
  <si>
    <t>H-203</t>
  </si>
  <si>
    <t>40</t>
  </si>
  <si>
    <t>DEVANAND J.KADAM(H-204)</t>
  </si>
  <si>
    <t>H-204</t>
  </si>
  <si>
    <t>41</t>
  </si>
  <si>
    <t>KRISHNA R.TAWADE(H-301)</t>
  </si>
  <si>
    <t>H-301</t>
  </si>
  <si>
    <t>42</t>
  </si>
  <si>
    <t>SURENDRA GAOKAR(H-302)</t>
  </si>
  <si>
    <t>H-302</t>
  </si>
  <si>
    <t>43</t>
  </si>
  <si>
    <t>JAYAPRAKASH M. MADHAVASSERY(H-303)</t>
  </si>
  <si>
    <t>H-303</t>
  </si>
  <si>
    <t>44</t>
  </si>
  <si>
    <t>SANDESH M.SAWANT(H-304)</t>
  </si>
  <si>
    <t>H-304</t>
  </si>
  <si>
    <t>45</t>
  </si>
  <si>
    <t>PREETI NITIN GHODESWAR &amp; MR.NITIN MOHAN GHODESWAR(H-401)</t>
  </si>
  <si>
    <t>H-401</t>
  </si>
  <si>
    <t>46</t>
  </si>
  <si>
    <t>GANESH S.KEDARI(H-402)</t>
  </si>
  <si>
    <t>H-402</t>
  </si>
  <si>
    <t>47</t>
  </si>
  <si>
    <t>SNEHAL S.RANE(H-403)</t>
  </si>
  <si>
    <t>H-403</t>
  </si>
  <si>
    <t>48</t>
  </si>
  <si>
    <t>MADHUMATI M.SAWANT(H-404)</t>
  </si>
  <si>
    <t>H-404</t>
  </si>
  <si>
    <t>49</t>
  </si>
  <si>
    <t>SUPRIYA P.BHABAL(H-501)</t>
  </si>
  <si>
    <t>H-501</t>
  </si>
  <si>
    <t>50</t>
  </si>
  <si>
    <t>KAMAL G.KUMKAR(H-502)</t>
  </si>
  <si>
    <t>H-502</t>
  </si>
  <si>
    <t>51</t>
  </si>
  <si>
    <t>SACHIN S.SHENVI(H-503)</t>
  </si>
  <si>
    <t>H-503</t>
  </si>
  <si>
    <t>52</t>
  </si>
  <si>
    <t>SANDEEP G. SAWANT(H-504)</t>
  </si>
  <si>
    <t>H-504</t>
  </si>
  <si>
    <t>53</t>
  </si>
  <si>
    <t>SHIVAJI M.WAGHMARE(H-601)</t>
  </si>
  <si>
    <t>H-601</t>
  </si>
  <si>
    <t>54</t>
  </si>
  <si>
    <t>ANKUSH K.CHAVAN(H-602)</t>
  </si>
  <si>
    <t>H-602</t>
  </si>
  <si>
    <t>55</t>
  </si>
  <si>
    <t>KUNDAN M.BERDE(H-603)</t>
  </si>
  <si>
    <t>H-603</t>
  </si>
  <si>
    <t>56</t>
  </si>
  <si>
    <t>SURESH SHREEDHARAN(H-604)</t>
  </si>
  <si>
    <t>H-604</t>
  </si>
  <si>
    <t>57</t>
  </si>
  <si>
    <t>RAMESH M.RATHOD(H-701)</t>
  </si>
  <si>
    <t>H-701</t>
  </si>
  <si>
    <t>58</t>
  </si>
  <si>
    <t>JAYASHREE J.ZOPE(H-702)</t>
  </si>
  <si>
    <t>H-702</t>
  </si>
  <si>
    <t>59</t>
  </si>
  <si>
    <t>BHASKAR PIRAJI THORAT(H-703)</t>
  </si>
  <si>
    <t>H-703</t>
  </si>
  <si>
    <t>60</t>
  </si>
  <si>
    <t>MR.PRATHAMESH P.DHUMAL &amp; DIPA P.DHUMAL(H-704)</t>
  </si>
  <si>
    <t>H-704</t>
  </si>
  <si>
    <t>61</t>
  </si>
  <si>
    <t>VINAYAK P.RAHATE(H-801)</t>
  </si>
  <si>
    <t>H-801</t>
  </si>
  <si>
    <t>62</t>
  </si>
  <si>
    <t>SURESH B.ZAJAM(H-802)</t>
  </si>
  <si>
    <t>H-802</t>
  </si>
  <si>
    <t>63</t>
  </si>
  <si>
    <t>HARBANSKAUR N.REHAL(H-803)</t>
  </si>
  <si>
    <t>H-803</t>
  </si>
  <si>
    <t>64</t>
  </si>
  <si>
    <t>VINAYAK L.SALUNKHE(H-804)</t>
  </si>
  <si>
    <t>H-804</t>
  </si>
  <si>
    <t>65</t>
  </si>
  <si>
    <t>SANGITA S.PANDEY(I-101)</t>
  </si>
  <si>
    <t>I-101</t>
  </si>
  <si>
    <t>66</t>
  </si>
  <si>
    <t>NITIN S.DALVI(I-102)</t>
  </si>
  <si>
    <t>I-102</t>
  </si>
  <si>
    <t>67</t>
  </si>
  <si>
    <t>MAHENDRA MOHAN NARVEKAR(I-103)</t>
  </si>
  <si>
    <t>I-103</t>
  </si>
  <si>
    <t>68</t>
  </si>
  <si>
    <t>UMA UMESH RANE(I-104)</t>
  </si>
  <si>
    <t>I-104</t>
  </si>
  <si>
    <t>69</t>
  </si>
  <si>
    <t>VIJAY C.BAKANE(I-201)</t>
  </si>
  <si>
    <t>I-201</t>
  </si>
  <si>
    <t>70</t>
  </si>
  <si>
    <t>DNYANDEO M.HALDANKAR(I-202)</t>
  </si>
  <si>
    <t>I-202</t>
  </si>
  <si>
    <t>71</t>
  </si>
  <si>
    <t>ATUL N.HALDANKAR(I-203)</t>
  </si>
  <si>
    <t>I-203</t>
  </si>
  <si>
    <t>72</t>
  </si>
  <si>
    <t>VIJENDRA PANDURANG PAWAR(I-204)</t>
  </si>
  <si>
    <t>I-204</t>
  </si>
  <si>
    <t>73</t>
  </si>
  <si>
    <t>PRALHAD S.KEDARE(I-301)</t>
  </si>
  <si>
    <t>I-301</t>
  </si>
  <si>
    <t>74</t>
  </si>
  <si>
    <t>SANJEEVANI A.BHONSALE(I-302)</t>
  </si>
  <si>
    <t>I-302</t>
  </si>
  <si>
    <t>75</t>
  </si>
  <si>
    <t>SHRIKANT M.SHINDE(I-303)</t>
  </si>
  <si>
    <t>I-303</t>
  </si>
  <si>
    <t>76</t>
  </si>
  <si>
    <t>SUVARNA D.GADEKAR(I-304)</t>
  </si>
  <si>
    <t>I-304</t>
  </si>
  <si>
    <t>77</t>
  </si>
  <si>
    <t>ASHWINI Y. GUJARE &amp; MR.YASHWANT D. GUJARE(I-401)</t>
  </si>
  <si>
    <t>I-401</t>
  </si>
  <si>
    <t>78</t>
  </si>
  <si>
    <t>TANUJA S.GUJARE &amp; MR.SANTOSH D.ATAK(I-402)</t>
  </si>
  <si>
    <t>I-402</t>
  </si>
  <si>
    <t>79</t>
  </si>
  <si>
    <t>SUDHIR M.KHOT(I-403)</t>
  </si>
  <si>
    <t>I-403</t>
  </si>
  <si>
    <t>80</t>
  </si>
  <si>
    <t>YASHWANT G.PAWAR(I-404)</t>
  </si>
  <si>
    <t>I-404</t>
  </si>
  <si>
    <t>81</t>
  </si>
  <si>
    <t>ANJALI V.THANEKAR(I-501)</t>
  </si>
  <si>
    <t>I-501</t>
  </si>
  <si>
    <t>82</t>
  </si>
  <si>
    <t>SUMAN M.THORAT(I-502)</t>
  </si>
  <si>
    <t>I-502</t>
  </si>
  <si>
    <t>83</t>
  </si>
  <si>
    <t>SMT.SMITA SURESH AMBRE &amp; MR.SURESH R.AMBRE(I-503)</t>
  </si>
  <si>
    <t>I-503</t>
  </si>
  <si>
    <t>84</t>
  </si>
  <si>
    <t>GOVINDSINGH KANDARI(I-504)</t>
  </si>
  <si>
    <t>I-504</t>
  </si>
  <si>
    <t>85</t>
  </si>
  <si>
    <t>HEMANT TRYAMBAKE(I-601)</t>
  </si>
  <si>
    <t>I-601</t>
  </si>
  <si>
    <t>86</t>
  </si>
  <si>
    <t>SADANAND J.RAJAM(I-602)</t>
  </si>
  <si>
    <t>I-602</t>
  </si>
  <si>
    <t>87</t>
  </si>
  <si>
    <t>CHANDRAKANT B.BRID(I-603)</t>
  </si>
  <si>
    <t>I-603</t>
  </si>
  <si>
    <t>88</t>
  </si>
  <si>
    <t>SURESH S.MADYE(I-604)</t>
  </si>
  <si>
    <t>I-604</t>
  </si>
  <si>
    <t>89</t>
  </si>
  <si>
    <t>PRITAM PANDURANG AMBALE &amp; PANDURANG MANIK AMBALE(I-701)</t>
  </si>
  <si>
    <t>I-701</t>
  </si>
  <si>
    <t>90</t>
  </si>
  <si>
    <t>LEELAVATI B.SINGH(I-702)</t>
  </si>
  <si>
    <t>I-702</t>
  </si>
  <si>
    <t>91</t>
  </si>
  <si>
    <t>A.K.KULKARNI(I-703)</t>
  </si>
  <si>
    <t>I-703</t>
  </si>
  <si>
    <t>92</t>
  </si>
  <si>
    <t>VIJAY SADASHIV PARAB(I-704)</t>
  </si>
  <si>
    <t>I-704</t>
  </si>
  <si>
    <t>93</t>
  </si>
  <si>
    <t>JOYEE S.BOSE/MR.SIDDHARTH G.BOSE(I-801)</t>
  </si>
  <si>
    <t>I-801</t>
  </si>
  <si>
    <t>94</t>
  </si>
  <si>
    <t>MANSI D.TANDEL(I-802)</t>
  </si>
  <si>
    <t>I-802</t>
  </si>
  <si>
    <t>95</t>
  </si>
  <si>
    <t>DILIP D.ABHANG(I-803)</t>
  </si>
  <si>
    <t>I-803</t>
  </si>
  <si>
    <t>96</t>
  </si>
  <si>
    <t>URMILA UTTAM DHURI &amp; MR.PRATIK U.DHURI(I-804)</t>
  </si>
  <si>
    <t>I-804</t>
  </si>
  <si>
    <t>97</t>
  </si>
  <si>
    <t>JUSTINA(J-101)</t>
  </si>
  <si>
    <t>J-101</t>
  </si>
  <si>
    <t>98</t>
  </si>
  <si>
    <t>JAYAPRAKASH M.(J-102)</t>
  </si>
  <si>
    <t>J-102</t>
  </si>
  <si>
    <t>99</t>
  </si>
  <si>
    <t>SURESH R.KHANVILKAR(J-103)</t>
  </si>
  <si>
    <t>J-103</t>
  </si>
  <si>
    <t>100</t>
  </si>
  <si>
    <t>CHANDRAKANT K.TAWADE(J-201)</t>
  </si>
  <si>
    <t>J-201</t>
  </si>
  <si>
    <t>101</t>
  </si>
  <si>
    <t>PRIYA M.MORE(J-202)</t>
  </si>
  <si>
    <t>J-202</t>
  </si>
  <si>
    <t>102</t>
  </si>
  <si>
    <t>SHAM S.SHINDE(J-203)</t>
  </si>
  <si>
    <t>J-203</t>
  </si>
  <si>
    <t>103</t>
  </si>
  <si>
    <t>ARVIND G.JADHAV(J-301)</t>
  </si>
  <si>
    <t>J-301</t>
  </si>
  <si>
    <t>104</t>
  </si>
  <si>
    <t>LALIT R.BAROT(J-302)</t>
  </si>
  <si>
    <t>J-302</t>
  </si>
  <si>
    <t>105</t>
  </si>
  <si>
    <t>RAJESH P.PATIL(J-303)</t>
  </si>
  <si>
    <t>J-303</t>
  </si>
  <si>
    <t>106</t>
  </si>
  <si>
    <t>BUDHISINGH PATWAL(J-401)</t>
  </si>
  <si>
    <t>J-401</t>
  </si>
  <si>
    <t>107</t>
  </si>
  <si>
    <t>HRIDAYSHANKAR D.SHUKLA(J-402)</t>
  </si>
  <si>
    <t>J-402</t>
  </si>
  <si>
    <t>108</t>
  </si>
  <si>
    <t>MANGAL N.GARDARE(J-403)</t>
  </si>
  <si>
    <t>J-403</t>
  </si>
  <si>
    <t>109</t>
  </si>
  <si>
    <t>PRAMILA SHIVRAM(J-501)</t>
  </si>
  <si>
    <t>J-501</t>
  </si>
  <si>
    <t>110</t>
  </si>
  <si>
    <t>RAJARAM T.LAD(J-502)</t>
  </si>
  <si>
    <t>J-502</t>
  </si>
  <si>
    <t>111</t>
  </si>
  <si>
    <t>NANASAHEB B.KAMBLE(J-503)</t>
  </si>
  <si>
    <t>J-503</t>
  </si>
  <si>
    <t>112</t>
  </si>
  <si>
    <t>BHIMANNA N.KOPPAR(J-601)</t>
  </si>
  <si>
    <t>J-601</t>
  </si>
  <si>
    <t>113</t>
  </si>
  <si>
    <t>ANANDA V.CHANDANSHIVE(J-602)</t>
  </si>
  <si>
    <t>J-602</t>
  </si>
  <si>
    <t>114</t>
  </si>
  <si>
    <t>DEEPAK D.GANGURDE(J-603)</t>
  </si>
  <si>
    <t>J-603</t>
  </si>
  <si>
    <t>115</t>
  </si>
  <si>
    <t>PRIYA MILIND MORE &amp; MILIND GAJANAN MORE(J-701)</t>
  </si>
  <si>
    <t>J-701</t>
  </si>
  <si>
    <t>116</t>
  </si>
  <si>
    <t>MR.VIPUL VIJAY SAIL(J-702)</t>
  </si>
  <si>
    <t>J-702</t>
  </si>
  <si>
    <t>117</t>
  </si>
  <si>
    <t>ANAND D. KULKARNI &amp; MRS.MANSI A.KULKARNI(J-703)</t>
  </si>
  <si>
    <t>J-703</t>
  </si>
  <si>
    <t>118</t>
  </si>
  <si>
    <t>RAJESH AMIN(J-801)</t>
  </si>
  <si>
    <t>J-801</t>
  </si>
  <si>
    <t>119</t>
  </si>
  <si>
    <t>UMA L.NAMBIAR(J-802)</t>
  </si>
  <si>
    <t>J-802</t>
  </si>
  <si>
    <t>120</t>
  </si>
  <si>
    <t>CHANDRAKANT S.SAWANT(J-803)</t>
  </si>
  <si>
    <t>J-803</t>
  </si>
  <si>
    <t>121</t>
  </si>
  <si>
    <t>D'COSTA JOSEPH(K-101)</t>
  </si>
  <si>
    <t>K-101</t>
  </si>
  <si>
    <t>122</t>
  </si>
  <si>
    <t>MAYURESH S. ACHAREKAR(K-102)</t>
  </si>
  <si>
    <t>K-102</t>
  </si>
  <si>
    <t>123</t>
  </si>
  <si>
    <t>SUSHMA S.ACHREKAR(K-103)</t>
  </si>
  <si>
    <t>K-103</t>
  </si>
  <si>
    <t>124</t>
  </si>
  <si>
    <t>KALPESH N. SAWANT(K-104)</t>
  </si>
  <si>
    <t>K-104</t>
  </si>
  <si>
    <t>125</t>
  </si>
  <si>
    <t>SHEKHAR N.SHETTY(K-201)</t>
  </si>
  <si>
    <t>K-201</t>
  </si>
  <si>
    <t>126</t>
  </si>
  <si>
    <t>MAHADEV S.BABAR(K-202)</t>
  </si>
  <si>
    <t>K-202</t>
  </si>
  <si>
    <t>127</t>
  </si>
  <si>
    <t>SUNIL S.PANSARE(K-203)</t>
  </si>
  <si>
    <t>K-203</t>
  </si>
  <si>
    <t>128</t>
  </si>
  <si>
    <t>SUNIL GURUNATH NAIK &amp; MRS.SNEHAL SUNIL NAIK(K-204)</t>
  </si>
  <si>
    <t>K-204</t>
  </si>
  <si>
    <t>129</t>
  </si>
  <si>
    <t>PRIYANKA P.DHARADE(K-301)</t>
  </si>
  <si>
    <t>K-301</t>
  </si>
  <si>
    <t>130</t>
  </si>
  <si>
    <t>SURESH N.PEDNEKAR(K-302)</t>
  </si>
  <si>
    <t>K-302</t>
  </si>
  <si>
    <t>131</t>
  </si>
  <si>
    <t>PRAKASH N.KALE(K-303)</t>
  </si>
  <si>
    <t>K-303</t>
  </si>
  <si>
    <t>132</t>
  </si>
  <si>
    <t>SATYAWAN T.VASKAR(K-304)</t>
  </si>
  <si>
    <t>K-304</t>
  </si>
  <si>
    <t>133</t>
  </si>
  <si>
    <t>NAVEEN R.KARKADA(K-401)</t>
  </si>
  <si>
    <t>K-401</t>
  </si>
  <si>
    <t>134</t>
  </si>
  <si>
    <t>AMBADAS S.WALUNJ(K-402)</t>
  </si>
  <si>
    <t>K-402</t>
  </si>
  <si>
    <t>135</t>
  </si>
  <si>
    <t>MAHENDRA M.THAKUR(K-403)</t>
  </si>
  <si>
    <t>K-403</t>
  </si>
  <si>
    <t>136</t>
  </si>
  <si>
    <t>DATTATRAYA S.KHOT(K-404)</t>
  </si>
  <si>
    <t>K-404</t>
  </si>
  <si>
    <t>27AFPPK5237H1Z5</t>
  </si>
  <si>
    <t>137</t>
  </si>
  <si>
    <t>RAMESH P.CHORGE(K-501)</t>
  </si>
  <si>
    <t>K-501</t>
  </si>
  <si>
    <t>138</t>
  </si>
  <si>
    <t>SAHADEV G.KANDALGAONKAR(K-502)</t>
  </si>
  <si>
    <t>K-502</t>
  </si>
  <si>
    <t>139</t>
  </si>
  <si>
    <t>RAJANI B.GANGURDE(K-503)</t>
  </si>
  <si>
    <t>K-503</t>
  </si>
  <si>
    <t>140</t>
  </si>
  <si>
    <t>RAMESH P.CHORGE &amp; NANDINI R.CHORGE(K-504)</t>
  </si>
  <si>
    <t>K-504</t>
  </si>
  <si>
    <t>141</t>
  </si>
  <si>
    <t>TUSHAR GHARE(K-601)</t>
  </si>
  <si>
    <t>K-601</t>
  </si>
  <si>
    <t>142</t>
  </si>
  <si>
    <t>KISHOR N.RAUT(K-602)</t>
  </si>
  <si>
    <t>K-602</t>
  </si>
  <si>
    <t>143</t>
  </si>
  <si>
    <t>SHANTARAM A.SAWANT(K-603)</t>
  </si>
  <si>
    <t>K-603</t>
  </si>
  <si>
    <t>144</t>
  </si>
  <si>
    <t>GANESH J.KADAM(K-604)</t>
  </si>
  <si>
    <t>K-604</t>
  </si>
  <si>
    <t>145</t>
  </si>
  <si>
    <t>VINAYAK G.SAIGAONKAR(K-701)</t>
  </si>
  <si>
    <t>K-701</t>
  </si>
  <si>
    <t>146</t>
  </si>
  <si>
    <t>KIRAN P.NAGARKAR(K-702)</t>
  </si>
  <si>
    <t>K-702</t>
  </si>
  <si>
    <t>147</t>
  </si>
  <si>
    <t>MS.NITYA PAUL THURAI S.(K-703)</t>
  </si>
  <si>
    <t>K-703</t>
  </si>
  <si>
    <t>148</t>
  </si>
  <si>
    <t>VEENA K.SAWANT(K-704)</t>
  </si>
  <si>
    <t>K-704</t>
  </si>
  <si>
    <t>149</t>
  </si>
  <si>
    <t>RAJESH B.SAKHARE(K-801)</t>
  </si>
  <si>
    <t>K-801</t>
  </si>
  <si>
    <t>150</t>
  </si>
  <si>
    <t>JYOSTNA PRABHAKAR TALEKAR(K-802)</t>
  </si>
  <si>
    <t>K-802</t>
  </si>
  <si>
    <t>151</t>
  </si>
  <si>
    <t>PRASHANT NARAYAN KADAM(K-803)</t>
  </si>
  <si>
    <t>K-803</t>
  </si>
  <si>
    <t>27AXJPK4596R1ZD</t>
  </si>
  <si>
    <t>152</t>
  </si>
  <si>
    <t>NARAYAN S.CHARATKAR(K-804)</t>
  </si>
  <si>
    <t>K-804</t>
  </si>
  <si>
    <t>153</t>
  </si>
  <si>
    <t>SWAPNIL KAILAS TORNE(L-101)</t>
  </si>
  <si>
    <t>L-101</t>
  </si>
  <si>
    <t>154</t>
  </si>
  <si>
    <t>UTTAM D.ACHREKAR(L-102)</t>
  </si>
  <si>
    <t>L-102</t>
  </si>
  <si>
    <t>155</t>
  </si>
  <si>
    <t>DHANAJI G.DEVEKAR(L-103)</t>
  </si>
  <si>
    <t>L-103</t>
  </si>
  <si>
    <t>156</t>
  </si>
  <si>
    <t>MILIND TUKARAM PADAVE(L-104)</t>
  </si>
  <si>
    <t>L-104</t>
  </si>
  <si>
    <t>157</t>
  </si>
  <si>
    <t>NITIN D.RAIKAR(L-201)</t>
  </si>
  <si>
    <t>L-201</t>
  </si>
  <si>
    <t>158</t>
  </si>
  <si>
    <t>PRAKASH B.SURVE(L-202)</t>
  </si>
  <si>
    <t>L-202</t>
  </si>
  <si>
    <t>159</t>
  </si>
  <si>
    <t>ANUPAMA A.AHER(L-203)</t>
  </si>
  <si>
    <t>L-203</t>
  </si>
  <si>
    <t>160</t>
  </si>
  <si>
    <t>SANDESH T.MADHAVI(L-204)</t>
  </si>
  <si>
    <t>L-204</t>
  </si>
  <si>
    <t>161</t>
  </si>
  <si>
    <t>SUVIDHA D.BHABAL(L-301)</t>
  </si>
  <si>
    <t>L-301</t>
  </si>
  <si>
    <t>162</t>
  </si>
  <si>
    <t>BHALCHANDRA N.BHARADKAR &amp; MRS.BHAGYASHREE B.BHARADKAR(L-302)</t>
  </si>
  <si>
    <t>L-302</t>
  </si>
  <si>
    <t>163</t>
  </si>
  <si>
    <t>RAJENDRA R CHAVAN &amp; MRS.SUJATA R.CHAVAN(L-303)</t>
  </si>
  <si>
    <t>L-303</t>
  </si>
  <si>
    <t>164</t>
  </si>
  <si>
    <t>SUNIL R.KADAM(L-304)</t>
  </si>
  <si>
    <t>L-304</t>
  </si>
  <si>
    <t>165</t>
  </si>
  <si>
    <t>SHRADDHA S.MORE(L-401)</t>
  </si>
  <si>
    <t>L-401</t>
  </si>
  <si>
    <t>166</t>
  </si>
  <si>
    <t>PRATHAMESH P.DHUMAL(L-402)</t>
  </si>
  <si>
    <t>L-402</t>
  </si>
  <si>
    <t>167</t>
  </si>
  <si>
    <t>SHOBHA P.AMBALE(L-403)</t>
  </si>
  <si>
    <t>L-403</t>
  </si>
  <si>
    <t>168</t>
  </si>
  <si>
    <t>PANDURANG A.CHORGE(L-404)</t>
  </si>
  <si>
    <t>L-404</t>
  </si>
  <si>
    <t>169</t>
  </si>
  <si>
    <t>MAKRAM BABU RATHOD(L-501)</t>
  </si>
  <si>
    <t>L-501</t>
  </si>
  <si>
    <t>170</t>
  </si>
  <si>
    <t>GAJANAN B.RANE(L-502)</t>
  </si>
  <si>
    <t>L-502</t>
  </si>
  <si>
    <t>171</t>
  </si>
  <si>
    <t>PADMAKAR NARAYAN KADAM(L-503)</t>
  </si>
  <si>
    <t>L-503</t>
  </si>
  <si>
    <t>172</t>
  </si>
  <si>
    <t>MAHADEV S.GOSAVI(L-504)</t>
  </si>
  <si>
    <t>L-504</t>
  </si>
  <si>
    <t>173</t>
  </si>
  <si>
    <t>MATACHARAM D.PANDEY(L-601)</t>
  </si>
  <si>
    <t>L-601</t>
  </si>
  <si>
    <t>174</t>
  </si>
  <si>
    <t>SMT.TARADEVI SATYADEO UPADHYAY(L-602)</t>
  </si>
  <si>
    <t>L-602</t>
  </si>
  <si>
    <t>175</t>
  </si>
  <si>
    <t>SAUDAMINI D.SAHU(L-603)</t>
  </si>
  <si>
    <t>L-603</t>
  </si>
  <si>
    <t>176</t>
  </si>
  <si>
    <t>DEVENDRA S.SAHU(L-604)</t>
  </si>
  <si>
    <t>L-604</t>
  </si>
  <si>
    <t>177</t>
  </si>
  <si>
    <t>RAMESH P.CHORGE &amp; MR.VAIBHAV P. CHORGE(L-701)</t>
  </si>
  <si>
    <t>L-701</t>
  </si>
  <si>
    <t>178</t>
  </si>
  <si>
    <t>ARUN RAMCHANDRA SAWANT(L-702)</t>
  </si>
  <si>
    <t>L-702</t>
  </si>
  <si>
    <t>179</t>
  </si>
  <si>
    <t>UPADHYAY S.A.(L-703)</t>
  </si>
  <si>
    <t>L-703</t>
  </si>
  <si>
    <t>180</t>
  </si>
  <si>
    <t>SUSHMA S.UPADHYAY(L-704)</t>
  </si>
  <si>
    <t>L-704</t>
  </si>
  <si>
    <t>181</t>
  </si>
  <si>
    <t>DEVENDRA P.KOLGAONKAR(L-801)</t>
  </si>
  <si>
    <t>L-801</t>
  </si>
  <si>
    <t>182</t>
  </si>
  <si>
    <t>MR.HARISHANKAR SHIVPRASAD GUPTA(L-802)</t>
  </si>
  <si>
    <t>L-802</t>
  </si>
  <si>
    <t>183</t>
  </si>
  <si>
    <t>MRS.SWATI VIPUL NAGDA(L-803)</t>
  </si>
  <si>
    <t>L-803</t>
  </si>
  <si>
    <t>184</t>
  </si>
  <si>
    <t>JAGDISH P.JADHAV(L-804)</t>
  </si>
  <si>
    <t>L-804</t>
  </si>
  <si>
    <t>185</t>
  </si>
  <si>
    <t>CHANDRAKANT K.TAWADE(SG-01)</t>
  </si>
  <si>
    <t>SG-01</t>
  </si>
  <si>
    <t>186</t>
  </si>
  <si>
    <t>JAYANTHI SIDHARTHAN(SG-02)</t>
  </si>
  <si>
    <t>SG-02</t>
  </si>
  <si>
    <t>187</t>
  </si>
  <si>
    <t>SHEKAR KUEDU DEVADIGA(SG-03)</t>
  </si>
  <si>
    <t>SG-03</t>
  </si>
  <si>
    <t>188</t>
  </si>
  <si>
    <t>VAISHALI S.SAWANT(SG-04)</t>
  </si>
  <si>
    <t>SG-04</t>
  </si>
  <si>
    <t>189</t>
  </si>
  <si>
    <t>OMKRIPA A.SINGH(SG-05)</t>
  </si>
  <si>
    <t>SG-05</t>
  </si>
  <si>
    <t>190</t>
  </si>
  <si>
    <t>VIDYA B.KOKATE(SH-01)</t>
  </si>
  <si>
    <t>SH-01</t>
  </si>
  <si>
    <t>191</t>
  </si>
  <si>
    <t>SUSHMA S.ACHREKAR(SH-02)</t>
  </si>
  <si>
    <t>SH-02</t>
  </si>
  <si>
    <t>192</t>
  </si>
  <si>
    <t>DEEPALI V.GAWADE(SH-03)</t>
  </si>
  <si>
    <t>SH-03</t>
  </si>
  <si>
    <t>193</t>
  </si>
  <si>
    <t>RAJU JAISWAL(SH-04)</t>
  </si>
  <si>
    <t>SH-04</t>
  </si>
  <si>
    <t>194</t>
  </si>
  <si>
    <t>VIPUL V.NAGADA(SH-05)</t>
  </si>
  <si>
    <t>SH-05</t>
  </si>
  <si>
    <t>Grand Total</t>
  </si>
  <si>
    <t>ABOVE 7500</t>
  </si>
  <si>
    <t>BELOW 7500</t>
  </si>
  <si>
    <t>BILL NO.</t>
  </si>
  <si>
    <t>NAME</t>
  </si>
  <si>
    <t>FLAT NO.</t>
  </si>
  <si>
    <t>BILLING REGISTER FOR THE PERIOD 01/04/2021 TO 30/04/2021</t>
  </si>
  <si>
    <t>BILL DATE : 01/04/2021</t>
  </si>
</sst>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49" fontId="4" fillId="2" borderId="2" xfId="0" applyNumberFormat="1" applyFont="1" applyFill="1" applyBorder="1" applyAlignment="1">
      <alignment horizontal="center" vertical="top" wrapText="1"/>
    </xf>
    <xf numFmtId="49" fontId="4" fillId="3" borderId="2" xfId="0" applyNumberFormat="1" applyFont="1" applyFill="1" applyBorder="1" applyAlignment="1">
      <alignment horizontal="center" vertical="top" wrapText="1"/>
    </xf>
    <xf numFmtId="49" fontId="2" fillId="0" borderId="0" xfId="0" applyNumberFormat="1" applyFont="1" applyBorder="1" applyAlignment="1">
      <alignment vertical="top"/>
    </xf>
    <xf numFmtId="2" fontId="0" fillId="0" borderId="0" xfId="0" applyNumberFormat="1"/>
    <xf numFmtId="49" fontId="3" fillId="2" borderId="2" xfId="0" applyNumberFormat="1" applyFont="1" applyFill="1" applyBorder="1" applyAlignment="1">
      <alignment vertical="top"/>
    </xf>
    <xf numFmtId="164" fontId="3" fillId="2" borderId="2" xfId="0" applyNumberFormat="1" applyFont="1" applyFill="1" applyBorder="1" applyAlignment="1">
      <alignment horizontal="right" vertical="top"/>
    </xf>
    <xf numFmtId="165" fontId="3" fillId="2" borderId="2" xfId="0" applyNumberFormat="1" applyFont="1" applyFill="1" applyBorder="1" applyAlignment="1">
      <alignment horizontal="right" vertical="top"/>
    </xf>
    <xf numFmtId="49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203"/>
  <sheetViews>
    <sheetView tabSelected="1" workbookViewId="0">
      <selection activeCell="B5" sqref="B5"/>
    </sheetView>
  </sheetViews>
  <sheetFormatPr defaultRowHeight="15"/>
  <cols>
    <col min="2" max="2" width="6.28515625" bestFit="1" customWidth="1"/>
    <col min="3" max="3" width="65.28515625" bestFit="1" customWidth="1"/>
    <col min="4" max="4" width="10.28515625" bestFit="1" customWidth="1"/>
    <col min="5" max="5" width="16.85546875" bestFit="1" customWidth="1"/>
    <col min="6" max="6" width="9.42578125" bestFit="1" customWidth="1"/>
    <col min="7" max="7" width="7.5703125" bestFit="1" customWidth="1"/>
    <col min="8" max="9" width="9.42578125" bestFit="1" customWidth="1"/>
    <col min="10" max="10" width="8.85546875" bestFit="1" customWidth="1"/>
    <col min="11" max="11" width="8.42578125" bestFit="1" customWidth="1"/>
    <col min="12" max="12" width="8.7109375" bestFit="1" customWidth="1"/>
    <col min="13" max="13" width="7.42578125" bestFit="1" customWidth="1"/>
    <col min="14" max="14" width="9.42578125" bestFit="1" customWidth="1"/>
    <col min="21" max="22" width="9.42578125" bestFit="1" customWidth="1"/>
    <col min="23" max="25" width="9.42578125" customWidth="1"/>
    <col min="26" max="26" width="10.42578125" bestFit="1" customWidth="1"/>
  </cols>
  <sheetData>
    <row r="1" spans="2:26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5.75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2:26">
      <c r="B3" s="17" t="s">
        <v>613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2:26" ht="15.75">
      <c r="B4" s="11"/>
      <c r="C4" s="1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>
      <c r="B5" s="2"/>
      <c r="C5" s="2"/>
      <c r="D5" s="1"/>
      <c r="E5" s="1"/>
      <c r="F5" s="18" t="s">
        <v>614</v>
      </c>
      <c r="G5" s="18"/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84">
      <c r="B6" s="3" t="s">
        <v>610</v>
      </c>
      <c r="C6" s="3" t="s">
        <v>611</v>
      </c>
      <c r="D6" s="3" t="s">
        <v>612</v>
      </c>
      <c r="E6" s="3" t="s">
        <v>1</v>
      </c>
      <c r="F6" s="3" t="s">
        <v>2</v>
      </c>
      <c r="G6" s="9" t="s">
        <v>3</v>
      </c>
      <c r="H6" s="9" t="s">
        <v>4</v>
      </c>
      <c r="I6" s="3" t="s">
        <v>5</v>
      </c>
      <c r="J6" s="3" t="s">
        <v>6</v>
      </c>
      <c r="K6" s="10" t="s">
        <v>7</v>
      </c>
      <c r="L6" s="9" t="s">
        <v>8</v>
      </c>
      <c r="M6" s="3" t="s">
        <v>9</v>
      </c>
      <c r="N6" s="3" t="s">
        <v>10</v>
      </c>
      <c r="O6" s="10" t="s">
        <v>13</v>
      </c>
      <c r="P6" s="9" t="s">
        <v>608</v>
      </c>
      <c r="Q6" s="10" t="s">
        <v>609</v>
      </c>
      <c r="R6" s="3" t="s">
        <v>11</v>
      </c>
      <c r="S6" s="3" t="s">
        <v>12</v>
      </c>
      <c r="T6" s="3" t="s">
        <v>14</v>
      </c>
      <c r="U6" s="3" t="s">
        <v>15</v>
      </c>
      <c r="V6" s="3" t="s">
        <v>16</v>
      </c>
      <c r="W6" s="3" t="s">
        <v>17</v>
      </c>
      <c r="X6" s="3" t="s">
        <v>18</v>
      </c>
      <c r="Y6" s="3" t="s">
        <v>19</v>
      </c>
      <c r="Z6" s="3" t="s">
        <v>20</v>
      </c>
    </row>
    <row r="7" spans="2:26">
      <c r="B7" s="4" t="s">
        <v>21</v>
      </c>
      <c r="C7" s="4" t="s">
        <v>22</v>
      </c>
      <c r="D7" s="4" t="s">
        <v>23</v>
      </c>
      <c r="E7" s="4" t="s">
        <v>25</v>
      </c>
      <c r="F7" s="5">
        <v>565</v>
      </c>
      <c r="G7" s="5">
        <v>50</v>
      </c>
      <c r="H7" s="5">
        <v>909</v>
      </c>
      <c r="I7" s="5">
        <v>803</v>
      </c>
      <c r="J7" s="5">
        <v>315</v>
      </c>
      <c r="K7" s="5">
        <v>300</v>
      </c>
      <c r="L7" s="5">
        <v>140</v>
      </c>
      <c r="M7" s="5">
        <v>17</v>
      </c>
      <c r="N7" s="5">
        <v>635</v>
      </c>
      <c r="O7" s="6"/>
      <c r="P7" s="6">
        <f>G7+H7+L7</f>
        <v>1099</v>
      </c>
      <c r="Q7" s="6">
        <f>K7+O7</f>
        <v>300</v>
      </c>
      <c r="R7" s="6">
        <f>ROUND(Q7*9/100,0)</f>
        <v>27</v>
      </c>
      <c r="S7" s="6">
        <f>R7</f>
        <v>27</v>
      </c>
      <c r="T7" s="6">
        <f>F7+G7+H7+I7+J7+K7+L7+M7+N7+O7+R7+S7</f>
        <v>3788</v>
      </c>
      <c r="U7" s="6"/>
      <c r="V7" s="6"/>
      <c r="W7" s="6"/>
      <c r="X7" s="6"/>
      <c r="Y7" s="6"/>
      <c r="Z7" s="6">
        <f>T7+U7+V7+W7+X7+Y7</f>
        <v>3788</v>
      </c>
    </row>
    <row r="8" spans="2:26">
      <c r="B8" s="4" t="s">
        <v>26</v>
      </c>
      <c r="C8" s="4" t="s">
        <v>27</v>
      </c>
      <c r="D8" s="4" t="s">
        <v>28</v>
      </c>
      <c r="E8" s="4" t="s">
        <v>25</v>
      </c>
      <c r="F8" s="5">
        <v>580</v>
      </c>
      <c r="G8" s="5">
        <v>50</v>
      </c>
      <c r="H8" s="5">
        <v>909</v>
      </c>
      <c r="I8" s="5">
        <v>803</v>
      </c>
      <c r="J8" s="5">
        <v>315</v>
      </c>
      <c r="K8" s="5">
        <v>300</v>
      </c>
      <c r="L8" s="5">
        <v>140</v>
      </c>
      <c r="M8" s="5">
        <v>17</v>
      </c>
      <c r="N8" s="5">
        <v>635</v>
      </c>
      <c r="O8" s="6"/>
      <c r="P8" s="6">
        <f t="shared" ref="P8:P71" si="0">G8+H8+L8</f>
        <v>1099</v>
      </c>
      <c r="Q8" s="6">
        <f t="shared" ref="Q8:Q71" si="1">K8+O8</f>
        <v>300</v>
      </c>
      <c r="R8" s="6">
        <f t="shared" ref="R8:R71" si="2">ROUND(Q8*9/100,0)</f>
        <v>27</v>
      </c>
      <c r="S8" s="6">
        <f t="shared" ref="S8:S71" si="3">R8</f>
        <v>27</v>
      </c>
      <c r="T8" s="6">
        <f t="shared" ref="T8:T71" si="4">F8+G8+H8+I8+J8+K8+L8+M8+N8+O8+R8+S8</f>
        <v>3803</v>
      </c>
      <c r="U8" s="6"/>
      <c r="V8" s="6"/>
      <c r="W8" s="6"/>
      <c r="X8" s="6"/>
      <c r="Y8" s="6"/>
      <c r="Z8" s="6">
        <f t="shared" ref="Z8:Z71" si="5">T8+U8+V8+W8+X8+Y8</f>
        <v>3803</v>
      </c>
    </row>
    <row r="9" spans="2:26">
      <c r="B9" s="4" t="s">
        <v>29</v>
      </c>
      <c r="C9" s="4" t="s">
        <v>30</v>
      </c>
      <c r="D9" s="4" t="s">
        <v>31</v>
      </c>
      <c r="E9" s="4" t="s">
        <v>25</v>
      </c>
      <c r="F9" s="5">
        <v>566</v>
      </c>
      <c r="G9" s="5">
        <v>50</v>
      </c>
      <c r="H9" s="5">
        <v>909</v>
      </c>
      <c r="I9" s="5">
        <v>803</v>
      </c>
      <c r="J9" s="5">
        <v>315</v>
      </c>
      <c r="K9" s="5">
        <v>350</v>
      </c>
      <c r="L9" s="5">
        <v>140</v>
      </c>
      <c r="M9" s="5">
        <v>17</v>
      </c>
      <c r="N9" s="5">
        <v>635</v>
      </c>
      <c r="O9" s="6"/>
      <c r="P9" s="6">
        <f t="shared" si="0"/>
        <v>1099</v>
      </c>
      <c r="Q9" s="6">
        <f t="shared" si="1"/>
        <v>350</v>
      </c>
      <c r="R9" s="6">
        <f t="shared" si="2"/>
        <v>32</v>
      </c>
      <c r="S9" s="6">
        <f t="shared" si="3"/>
        <v>32</v>
      </c>
      <c r="T9" s="6">
        <f t="shared" si="4"/>
        <v>3849</v>
      </c>
      <c r="U9" s="5">
        <v>9624</v>
      </c>
      <c r="V9" s="5">
        <v>188</v>
      </c>
      <c r="W9" s="5">
        <f>ROUND(U9*21/100/365*31,0)</f>
        <v>172</v>
      </c>
      <c r="X9" s="5">
        <f>ROUND(W9*9/100,0)</f>
        <v>15</v>
      </c>
      <c r="Y9" s="5">
        <f>X9</f>
        <v>15</v>
      </c>
      <c r="Z9" s="6">
        <f t="shared" si="5"/>
        <v>13863</v>
      </c>
    </row>
    <row r="10" spans="2:26">
      <c r="B10" s="4" t="s">
        <v>32</v>
      </c>
      <c r="C10" s="4" t="s">
        <v>33</v>
      </c>
      <c r="D10" s="4" t="s">
        <v>34</v>
      </c>
      <c r="E10" s="4" t="s">
        <v>25</v>
      </c>
      <c r="F10" s="5">
        <v>563</v>
      </c>
      <c r="G10" s="5">
        <v>50</v>
      </c>
      <c r="H10" s="5">
        <v>909</v>
      </c>
      <c r="I10" s="5">
        <v>803</v>
      </c>
      <c r="J10" s="5">
        <v>315</v>
      </c>
      <c r="K10" s="5">
        <v>100</v>
      </c>
      <c r="L10" s="5">
        <v>140</v>
      </c>
      <c r="M10" s="5">
        <v>17</v>
      </c>
      <c r="N10" s="5">
        <v>635</v>
      </c>
      <c r="O10" s="6"/>
      <c r="P10" s="6">
        <f t="shared" si="0"/>
        <v>1099</v>
      </c>
      <c r="Q10" s="6">
        <f t="shared" si="1"/>
        <v>100</v>
      </c>
      <c r="R10" s="6">
        <f t="shared" si="2"/>
        <v>9</v>
      </c>
      <c r="S10" s="6">
        <f t="shared" si="3"/>
        <v>9</v>
      </c>
      <c r="T10" s="6">
        <f t="shared" si="4"/>
        <v>3550</v>
      </c>
      <c r="U10" s="5">
        <v>8727</v>
      </c>
      <c r="V10" s="5">
        <v>172</v>
      </c>
      <c r="W10" s="5">
        <f t="shared" ref="W10:W73" si="6">ROUND(U10*21/100/365*31,0)</f>
        <v>156</v>
      </c>
      <c r="X10" s="5">
        <f>ROUND(W10*9/100,0)</f>
        <v>14</v>
      </c>
      <c r="Y10" s="5">
        <f>X10</f>
        <v>14</v>
      </c>
      <c r="Z10" s="6">
        <f t="shared" si="5"/>
        <v>12633</v>
      </c>
    </row>
    <row r="11" spans="2:26">
      <c r="B11" s="4" t="s">
        <v>35</v>
      </c>
      <c r="C11" s="4" t="s">
        <v>36</v>
      </c>
      <c r="D11" s="4" t="s">
        <v>37</v>
      </c>
      <c r="E11" s="4" t="s">
        <v>25</v>
      </c>
      <c r="F11" s="5">
        <v>565</v>
      </c>
      <c r="G11" s="5">
        <v>50</v>
      </c>
      <c r="H11" s="5">
        <v>909</v>
      </c>
      <c r="I11" s="5">
        <v>803</v>
      </c>
      <c r="J11" s="5">
        <v>315</v>
      </c>
      <c r="K11" s="6"/>
      <c r="L11" s="5">
        <v>140</v>
      </c>
      <c r="M11" s="5">
        <v>17</v>
      </c>
      <c r="N11" s="5">
        <v>635</v>
      </c>
      <c r="O11" s="5">
        <v>101</v>
      </c>
      <c r="P11" s="6">
        <f t="shared" si="0"/>
        <v>1099</v>
      </c>
      <c r="Q11" s="6">
        <f t="shared" si="1"/>
        <v>101</v>
      </c>
      <c r="R11" s="6">
        <f t="shared" si="2"/>
        <v>9</v>
      </c>
      <c r="S11" s="6">
        <f t="shared" si="3"/>
        <v>9</v>
      </c>
      <c r="T11" s="6">
        <f t="shared" si="4"/>
        <v>3553</v>
      </c>
      <c r="U11" s="5">
        <v>-1629</v>
      </c>
      <c r="V11" s="6"/>
      <c r="W11" s="5"/>
      <c r="X11" s="5"/>
      <c r="Y11" s="5"/>
      <c r="Z11" s="6">
        <f t="shared" si="5"/>
        <v>1924</v>
      </c>
    </row>
    <row r="12" spans="2:26">
      <c r="B12" s="4" t="s">
        <v>38</v>
      </c>
      <c r="C12" s="4" t="s">
        <v>39</v>
      </c>
      <c r="D12" s="4" t="s">
        <v>40</v>
      </c>
      <c r="E12" s="4" t="s">
        <v>25</v>
      </c>
      <c r="F12" s="5">
        <v>580</v>
      </c>
      <c r="G12" s="5">
        <v>50</v>
      </c>
      <c r="H12" s="5">
        <v>909</v>
      </c>
      <c r="I12" s="5">
        <v>803</v>
      </c>
      <c r="J12" s="5">
        <v>315</v>
      </c>
      <c r="K12" s="5">
        <v>300</v>
      </c>
      <c r="L12" s="5">
        <v>140</v>
      </c>
      <c r="M12" s="5">
        <v>17</v>
      </c>
      <c r="N12" s="5">
        <v>635</v>
      </c>
      <c r="O12" s="6"/>
      <c r="P12" s="6">
        <f t="shared" si="0"/>
        <v>1099</v>
      </c>
      <c r="Q12" s="6">
        <f t="shared" si="1"/>
        <v>300</v>
      </c>
      <c r="R12" s="6">
        <f t="shared" si="2"/>
        <v>27</v>
      </c>
      <c r="S12" s="6">
        <f t="shared" si="3"/>
        <v>27</v>
      </c>
      <c r="T12" s="6">
        <f t="shared" si="4"/>
        <v>3803</v>
      </c>
      <c r="U12" s="6"/>
      <c r="V12" s="6"/>
      <c r="W12" s="5"/>
      <c r="X12" s="5"/>
      <c r="Y12" s="5"/>
      <c r="Z12" s="6">
        <f t="shared" si="5"/>
        <v>3803</v>
      </c>
    </row>
    <row r="13" spans="2:26">
      <c r="B13" s="4" t="s">
        <v>41</v>
      </c>
      <c r="C13" s="4" t="s">
        <v>42</v>
      </c>
      <c r="D13" s="4" t="s">
        <v>43</v>
      </c>
      <c r="E13" s="4" t="s">
        <v>25</v>
      </c>
      <c r="F13" s="5">
        <v>566</v>
      </c>
      <c r="G13" s="5">
        <v>50</v>
      </c>
      <c r="H13" s="5">
        <v>909</v>
      </c>
      <c r="I13" s="5">
        <v>803</v>
      </c>
      <c r="J13" s="5">
        <v>315</v>
      </c>
      <c r="K13" s="6"/>
      <c r="L13" s="5">
        <v>140</v>
      </c>
      <c r="M13" s="5">
        <v>17</v>
      </c>
      <c r="N13" s="5">
        <v>635</v>
      </c>
      <c r="O13" s="6"/>
      <c r="P13" s="6">
        <f t="shared" si="0"/>
        <v>1099</v>
      </c>
      <c r="Q13" s="6">
        <f t="shared" si="1"/>
        <v>0</v>
      </c>
      <c r="R13" s="6">
        <f t="shared" si="2"/>
        <v>0</v>
      </c>
      <c r="S13" s="6">
        <f t="shared" si="3"/>
        <v>0</v>
      </c>
      <c r="T13" s="6">
        <f t="shared" si="4"/>
        <v>3435</v>
      </c>
      <c r="U13" s="6"/>
      <c r="V13" s="6"/>
      <c r="W13" s="5"/>
      <c r="X13" s="5"/>
      <c r="Y13" s="5"/>
      <c r="Z13" s="6">
        <f t="shared" si="5"/>
        <v>3435</v>
      </c>
    </row>
    <row r="14" spans="2:26">
      <c r="B14" s="4" t="s">
        <v>44</v>
      </c>
      <c r="C14" s="4" t="s">
        <v>45</v>
      </c>
      <c r="D14" s="4" t="s">
        <v>46</v>
      </c>
      <c r="E14" s="4" t="s">
        <v>25</v>
      </c>
      <c r="F14" s="5">
        <v>563</v>
      </c>
      <c r="G14" s="5">
        <v>50</v>
      </c>
      <c r="H14" s="5">
        <v>909</v>
      </c>
      <c r="I14" s="5">
        <v>803</v>
      </c>
      <c r="J14" s="5">
        <v>315</v>
      </c>
      <c r="K14" s="5">
        <v>350</v>
      </c>
      <c r="L14" s="5">
        <v>140</v>
      </c>
      <c r="M14" s="5">
        <v>17</v>
      </c>
      <c r="N14" s="5">
        <v>635</v>
      </c>
      <c r="O14" s="6"/>
      <c r="P14" s="6">
        <f t="shared" si="0"/>
        <v>1099</v>
      </c>
      <c r="Q14" s="6">
        <f t="shared" si="1"/>
        <v>350</v>
      </c>
      <c r="R14" s="6">
        <f t="shared" si="2"/>
        <v>32</v>
      </c>
      <c r="S14" s="6">
        <f t="shared" si="3"/>
        <v>32</v>
      </c>
      <c r="T14" s="6">
        <f t="shared" si="4"/>
        <v>3846</v>
      </c>
      <c r="U14" s="6"/>
      <c r="V14" s="6"/>
      <c r="W14" s="5"/>
      <c r="X14" s="5"/>
      <c r="Y14" s="5"/>
      <c r="Z14" s="6">
        <f t="shared" si="5"/>
        <v>3846</v>
      </c>
    </row>
    <row r="15" spans="2:26">
      <c r="B15" s="4" t="s">
        <v>47</v>
      </c>
      <c r="C15" s="4" t="s">
        <v>48</v>
      </c>
      <c r="D15" s="4" t="s">
        <v>49</v>
      </c>
      <c r="E15" s="4" t="s">
        <v>25</v>
      </c>
      <c r="F15" s="5">
        <v>565</v>
      </c>
      <c r="G15" s="5">
        <v>50</v>
      </c>
      <c r="H15" s="5">
        <v>909</v>
      </c>
      <c r="I15" s="5">
        <v>803</v>
      </c>
      <c r="J15" s="5">
        <v>315</v>
      </c>
      <c r="K15" s="5">
        <v>950</v>
      </c>
      <c r="L15" s="5">
        <v>140</v>
      </c>
      <c r="M15" s="5">
        <v>17</v>
      </c>
      <c r="N15" s="5">
        <v>635</v>
      </c>
      <c r="O15" s="6"/>
      <c r="P15" s="6">
        <f t="shared" si="0"/>
        <v>1099</v>
      </c>
      <c r="Q15" s="6">
        <f t="shared" si="1"/>
        <v>950</v>
      </c>
      <c r="R15" s="6">
        <f t="shared" si="2"/>
        <v>86</v>
      </c>
      <c r="S15" s="6">
        <f t="shared" si="3"/>
        <v>86</v>
      </c>
      <c r="T15" s="6">
        <f t="shared" si="4"/>
        <v>4556</v>
      </c>
      <c r="U15" s="5">
        <v>15</v>
      </c>
      <c r="V15" s="6"/>
      <c r="W15" s="5"/>
      <c r="X15" s="5"/>
      <c r="Y15" s="5"/>
      <c r="Z15" s="6">
        <f t="shared" si="5"/>
        <v>4571</v>
      </c>
    </row>
    <row r="16" spans="2:26">
      <c r="B16" s="4" t="s">
        <v>50</v>
      </c>
      <c r="C16" s="4" t="s">
        <v>51</v>
      </c>
      <c r="D16" s="4" t="s">
        <v>52</v>
      </c>
      <c r="E16" s="4" t="s">
        <v>25</v>
      </c>
      <c r="F16" s="5">
        <v>580</v>
      </c>
      <c r="G16" s="5">
        <v>50</v>
      </c>
      <c r="H16" s="5">
        <v>909</v>
      </c>
      <c r="I16" s="5">
        <v>803</v>
      </c>
      <c r="J16" s="5">
        <v>315</v>
      </c>
      <c r="K16" s="5">
        <v>200</v>
      </c>
      <c r="L16" s="5">
        <v>140</v>
      </c>
      <c r="M16" s="5">
        <v>17</v>
      </c>
      <c r="N16" s="5">
        <v>635</v>
      </c>
      <c r="O16" s="6"/>
      <c r="P16" s="6">
        <f t="shared" si="0"/>
        <v>1099</v>
      </c>
      <c r="Q16" s="6">
        <f t="shared" si="1"/>
        <v>200</v>
      </c>
      <c r="R16" s="6">
        <f t="shared" si="2"/>
        <v>18</v>
      </c>
      <c r="S16" s="6">
        <f t="shared" si="3"/>
        <v>18</v>
      </c>
      <c r="T16" s="6">
        <f t="shared" si="4"/>
        <v>3685</v>
      </c>
      <c r="U16" s="6"/>
      <c r="V16" s="6"/>
      <c r="W16" s="5"/>
      <c r="X16" s="5"/>
      <c r="Y16" s="5"/>
      <c r="Z16" s="6">
        <f t="shared" si="5"/>
        <v>3685</v>
      </c>
    </row>
    <row r="17" spans="2:26">
      <c r="B17" s="4" t="s">
        <v>53</v>
      </c>
      <c r="C17" s="4" t="s">
        <v>54</v>
      </c>
      <c r="D17" s="4" t="s">
        <v>55</v>
      </c>
      <c r="E17" s="4" t="s">
        <v>25</v>
      </c>
      <c r="F17" s="5">
        <v>566</v>
      </c>
      <c r="G17" s="5">
        <v>50</v>
      </c>
      <c r="H17" s="5">
        <v>909</v>
      </c>
      <c r="I17" s="5">
        <v>803</v>
      </c>
      <c r="J17" s="5">
        <v>315</v>
      </c>
      <c r="K17" s="5">
        <v>200</v>
      </c>
      <c r="L17" s="5">
        <v>140</v>
      </c>
      <c r="M17" s="5">
        <v>17</v>
      </c>
      <c r="N17" s="5">
        <v>635</v>
      </c>
      <c r="O17" s="6"/>
      <c r="P17" s="6">
        <f t="shared" si="0"/>
        <v>1099</v>
      </c>
      <c r="Q17" s="6">
        <f t="shared" si="1"/>
        <v>200</v>
      </c>
      <c r="R17" s="6">
        <f t="shared" si="2"/>
        <v>18</v>
      </c>
      <c r="S17" s="6">
        <f t="shared" si="3"/>
        <v>18</v>
      </c>
      <c r="T17" s="6">
        <f t="shared" si="4"/>
        <v>3671</v>
      </c>
      <c r="U17" s="6"/>
      <c r="V17" s="6"/>
      <c r="W17" s="5"/>
      <c r="X17" s="5"/>
      <c r="Y17" s="5"/>
      <c r="Z17" s="6">
        <f t="shared" si="5"/>
        <v>3671</v>
      </c>
    </row>
    <row r="18" spans="2:26">
      <c r="B18" s="4" t="s">
        <v>56</v>
      </c>
      <c r="C18" s="4" t="s">
        <v>57</v>
      </c>
      <c r="D18" s="4" t="s">
        <v>58</v>
      </c>
      <c r="E18" s="4" t="s">
        <v>25</v>
      </c>
      <c r="F18" s="5">
        <v>563</v>
      </c>
      <c r="G18" s="5">
        <v>50</v>
      </c>
      <c r="H18" s="5">
        <v>909</v>
      </c>
      <c r="I18" s="5">
        <v>803</v>
      </c>
      <c r="J18" s="5">
        <v>315</v>
      </c>
      <c r="K18" s="5">
        <v>200</v>
      </c>
      <c r="L18" s="5">
        <v>140</v>
      </c>
      <c r="M18" s="5">
        <v>17</v>
      </c>
      <c r="N18" s="5">
        <v>635</v>
      </c>
      <c r="O18" s="6"/>
      <c r="P18" s="6">
        <f t="shared" si="0"/>
        <v>1099</v>
      </c>
      <c r="Q18" s="6">
        <f t="shared" si="1"/>
        <v>200</v>
      </c>
      <c r="R18" s="6">
        <f t="shared" si="2"/>
        <v>18</v>
      </c>
      <c r="S18" s="6">
        <f t="shared" si="3"/>
        <v>18</v>
      </c>
      <c r="T18" s="6">
        <f t="shared" si="4"/>
        <v>3668</v>
      </c>
      <c r="U18" s="5">
        <v>159622</v>
      </c>
      <c r="V18" s="5">
        <v>71626</v>
      </c>
      <c r="W18" s="5">
        <f t="shared" si="6"/>
        <v>2847</v>
      </c>
      <c r="X18" s="5">
        <f t="shared" ref="X18:X19" si="7">ROUND(W18*9/100,0)</f>
        <v>256</v>
      </c>
      <c r="Y18" s="5">
        <f t="shared" ref="Y18:Y19" si="8">X18</f>
        <v>256</v>
      </c>
      <c r="Z18" s="6">
        <f t="shared" si="5"/>
        <v>238275</v>
      </c>
    </row>
    <row r="19" spans="2:26">
      <c r="B19" s="4" t="s">
        <v>59</v>
      </c>
      <c r="C19" s="4" t="s">
        <v>60</v>
      </c>
      <c r="D19" s="4" t="s">
        <v>61</v>
      </c>
      <c r="E19" s="4" t="s">
        <v>25</v>
      </c>
      <c r="F19" s="5">
        <v>565</v>
      </c>
      <c r="G19" s="5">
        <v>50</v>
      </c>
      <c r="H19" s="5">
        <v>909</v>
      </c>
      <c r="I19" s="5">
        <v>803</v>
      </c>
      <c r="J19" s="5">
        <v>315</v>
      </c>
      <c r="K19" s="5">
        <v>200</v>
      </c>
      <c r="L19" s="5">
        <v>140</v>
      </c>
      <c r="M19" s="5">
        <v>17</v>
      </c>
      <c r="N19" s="5">
        <v>635</v>
      </c>
      <c r="O19" s="5">
        <v>101</v>
      </c>
      <c r="P19" s="6">
        <f t="shared" si="0"/>
        <v>1099</v>
      </c>
      <c r="Q19" s="6">
        <f t="shared" si="1"/>
        <v>301</v>
      </c>
      <c r="R19" s="6">
        <f t="shared" si="2"/>
        <v>27</v>
      </c>
      <c r="S19" s="6">
        <f t="shared" si="3"/>
        <v>27</v>
      </c>
      <c r="T19" s="6">
        <f t="shared" si="4"/>
        <v>3789</v>
      </c>
      <c r="U19" s="5">
        <v>3148</v>
      </c>
      <c r="V19" s="6"/>
      <c r="W19" s="5">
        <f t="shared" si="6"/>
        <v>56</v>
      </c>
      <c r="X19" s="5">
        <f t="shared" si="7"/>
        <v>5</v>
      </c>
      <c r="Y19" s="5">
        <f t="shared" si="8"/>
        <v>5</v>
      </c>
      <c r="Z19" s="6">
        <f t="shared" si="5"/>
        <v>7003</v>
      </c>
    </row>
    <row r="20" spans="2:26">
      <c r="B20" s="4" t="s">
        <v>62</v>
      </c>
      <c r="C20" s="4" t="s">
        <v>63</v>
      </c>
      <c r="D20" s="4" t="s">
        <v>64</v>
      </c>
      <c r="E20" s="4" t="s">
        <v>25</v>
      </c>
      <c r="F20" s="5">
        <v>580</v>
      </c>
      <c r="G20" s="5">
        <v>50</v>
      </c>
      <c r="H20" s="5">
        <v>909</v>
      </c>
      <c r="I20" s="5">
        <v>803</v>
      </c>
      <c r="J20" s="5">
        <v>315</v>
      </c>
      <c r="K20" s="6"/>
      <c r="L20" s="5">
        <v>140</v>
      </c>
      <c r="M20" s="5">
        <v>17</v>
      </c>
      <c r="N20" s="5">
        <v>635</v>
      </c>
      <c r="O20" s="6"/>
      <c r="P20" s="6">
        <f t="shared" si="0"/>
        <v>1099</v>
      </c>
      <c r="Q20" s="6">
        <f t="shared" si="1"/>
        <v>0</v>
      </c>
      <c r="R20" s="6">
        <f t="shared" si="2"/>
        <v>0</v>
      </c>
      <c r="S20" s="6">
        <f t="shared" si="3"/>
        <v>0</v>
      </c>
      <c r="T20" s="6">
        <f t="shared" si="4"/>
        <v>3449</v>
      </c>
      <c r="U20" s="6"/>
      <c r="V20" s="6"/>
      <c r="W20" s="5"/>
      <c r="X20" s="5"/>
      <c r="Y20" s="5"/>
      <c r="Z20" s="6">
        <f t="shared" si="5"/>
        <v>3449</v>
      </c>
    </row>
    <row r="21" spans="2:26">
      <c r="B21" s="4" t="s">
        <v>65</v>
      </c>
      <c r="C21" s="4" t="s">
        <v>66</v>
      </c>
      <c r="D21" s="4" t="s">
        <v>67</v>
      </c>
      <c r="E21" s="4" t="s">
        <v>25</v>
      </c>
      <c r="F21" s="5">
        <v>566</v>
      </c>
      <c r="G21" s="5">
        <v>50</v>
      </c>
      <c r="H21" s="5">
        <v>909</v>
      </c>
      <c r="I21" s="5">
        <v>803</v>
      </c>
      <c r="J21" s="5">
        <v>315</v>
      </c>
      <c r="K21" s="5">
        <v>300</v>
      </c>
      <c r="L21" s="5">
        <v>140</v>
      </c>
      <c r="M21" s="5">
        <v>17</v>
      </c>
      <c r="N21" s="5">
        <v>635</v>
      </c>
      <c r="O21" s="6"/>
      <c r="P21" s="6">
        <f t="shared" si="0"/>
        <v>1099</v>
      </c>
      <c r="Q21" s="6">
        <f t="shared" si="1"/>
        <v>300</v>
      </c>
      <c r="R21" s="6">
        <f t="shared" si="2"/>
        <v>27</v>
      </c>
      <c r="S21" s="6">
        <f t="shared" si="3"/>
        <v>27</v>
      </c>
      <c r="T21" s="6">
        <f t="shared" si="4"/>
        <v>3789</v>
      </c>
      <c r="U21" s="6"/>
      <c r="V21" s="6"/>
      <c r="W21" s="5"/>
      <c r="X21" s="5"/>
      <c r="Y21" s="5"/>
      <c r="Z21" s="6">
        <f t="shared" si="5"/>
        <v>3789</v>
      </c>
    </row>
    <row r="22" spans="2:26">
      <c r="B22" s="4" t="s">
        <v>68</v>
      </c>
      <c r="C22" s="4" t="s">
        <v>69</v>
      </c>
      <c r="D22" s="4" t="s">
        <v>70</v>
      </c>
      <c r="E22" s="4" t="s">
        <v>25</v>
      </c>
      <c r="F22" s="5">
        <v>563</v>
      </c>
      <c r="G22" s="5">
        <v>50</v>
      </c>
      <c r="H22" s="5">
        <v>909</v>
      </c>
      <c r="I22" s="5">
        <v>803</v>
      </c>
      <c r="J22" s="5">
        <v>315</v>
      </c>
      <c r="K22" s="6"/>
      <c r="L22" s="5">
        <v>140</v>
      </c>
      <c r="M22" s="5">
        <v>17</v>
      </c>
      <c r="N22" s="5">
        <v>635</v>
      </c>
      <c r="O22" s="6"/>
      <c r="P22" s="6">
        <f t="shared" si="0"/>
        <v>1099</v>
      </c>
      <c r="Q22" s="6">
        <f t="shared" si="1"/>
        <v>0</v>
      </c>
      <c r="R22" s="6">
        <f t="shared" si="2"/>
        <v>0</v>
      </c>
      <c r="S22" s="6">
        <f t="shared" si="3"/>
        <v>0</v>
      </c>
      <c r="T22" s="6">
        <f t="shared" si="4"/>
        <v>3432</v>
      </c>
      <c r="U22" s="5">
        <v>2791</v>
      </c>
      <c r="V22" s="6"/>
      <c r="W22" s="5">
        <f t="shared" si="6"/>
        <v>50</v>
      </c>
      <c r="X22" s="5">
        <f>ROUND(W22*9/100,0)</f>
        <v>5</v>
      </c>
      <c r="Y22" s="5">
        <f>X22</f>
        <v>5</v>
      </c>
      <c r="Z22" s="6">
        <f t="shared" si="5"/>
        <v>6283</v>
      </c>
    </row>
    <row r="23" spans="2:26">
      <c r="B23" s="4" t="s">
        <v>71</v>
      </c>
      <c r="C23" s="4" t="s">
        <v>72</v>
      </c>
      <c r="D23" s="4" t="s">
        <v>73</v>
      </c>
      <c r="E23" s="4" t="s">
        <v>25</v>
      </c>
      <c r="F23" s="5">
        <v>593</v>
      </c>
      <c r="G23" s="5">
        <v>50</v>
      </c>
      <c r="H23" s="5">
        <v>909</v>
      </c>
      <c r="I23" s="5">
        <v>803</v>
      </c>
      <c r="J23" s="5">
        <v>315</v>
      </c>
      <c r="K23" s="5">
        <v>200</v>
      </c>
      <c r="L23" s="5">
        <v>140</v>
      </c>
      <c r="M23" s="5">
        <v>17</v>
      </c>
      <c r="N23" s="5">
        <v>635</v>
      </c>
      <c r="O23" s="6"/>
      <c r="P23" s="6">
        <f t="shared" si="0"/>
        <v>1099</v>
      </c>
      <c r="Q23" s="6">
        <f t="shared" si="1"/>
        <v>200</v>
      </c>
      <c r="R23" s="6">
        <f t="shared" si="2"/>
        <v>18</v>
      </c>
      <c r="S23" s="6">
        <f t="shared" si="3"/>
        <v>18</v>
      </c>
      <c r="T23" s="6">
        <f t="shared" si="4"/>
        <v>3698</v>
      </c>
      <c r="U23" s="6"/>
      <c r="V23" s="6"/>
      <c r="W23" s="5"/>
      <c r="X23" s="5"/>
      <c r="Y23" s="5"/>
      <c r="Z23" s="6">
        <f t="shared" si="5"/>
        <v>3698</v>
      </c>
    </row>
    <row r="24" spans="2:26">
      <c r="B24" s="4" t="s">
        <v>74</v>
      </c>
      <c r="C24" s="4" t="s">
        <v>75</v>
      </c>
      <c r="D24" s="4" t="s">
        <v>76</v>
      </c>
      <c r="E24" s="4" t="s">
        <v>25</v>
      </c>
      <c r="F24" s="5">
        <v>608</v>
      </c>
      <c r="G24" s="5">
        <v>50</v>
      </c>
      <c r="H24" s="5">
        <v>909</v>
      </c>
      <c r="I24" s="5">
        <v>803</v>
      </c>
      <c r="J24" s="5">
        <v>315</v>
      </c>
      <c r="K24" s="6"/>
      <c r="L24" s="5">
        <v>140</v>
      </c>
      <c r="M24" s="5">
        <v>17</v>
      </c>
      <c r="N24" s="5">
        <v>635</v>
      </c>
      <c r="O24" s="5">
        <v>101</v>
      </c>
      <c r="P24" s="6">
        <f t="shared" si="0"/>
        <v>1099</v>
      </c>
      <c r="Q24" s="6">
        <f t="shared" si="1"/>
        <v>101</v>
      </c>
      <c r="R24" s="6">
        <f t="shared" si="2"/>
        <v>9</v>
      </c>
      <c r="S24" s="6">
        <f t="shared" si="3"/>
        <v>9</v>
      </c>
      <c r="T24" s="6">
        <f t="shared" si="4"/>
        <v>3596</v>
      </c>
      <c r="U24" s="6"/>
      <c r="V24" s="6"/>
      <c r="W24" s="5"/>
      <c r="X24" s="5"/>
      <c r="Y24" s="5"/>
      <c r="Z24" s="6">
        <f t="shared" si="5"/>
        <v>3596</v>
      </c>
    </row>
    <row r="25" spans="2:26">
      <c r="B25" s="4" t="s">
        <v>77</v>
      </c>
      <c r="C25" s="4" t="s">
        <v>78</v>
      </c>
      <c r="D25" s="4" t="s">
        <v>79</v>
      </c>
      <c r="E25" s="4" t="s">
        <v>25</v>
      </c>
      <c r="F25" s="5">
        <v>594</v>
      </c>
      <c r="G25" s="5">
        <v>50</v>
      </c>
      <c r="H25" s="5">
        <v>909</v>
      </c>
      <c r="I25" s="5">
        <v>803</v>
      </c>
      <c r="J25" s="5">
        <v>315</v>
      </c>
      <c r="K25" s="5">
        <v>300</v>
      </c>
      <c r="L25" s="5">
        <v>140</v>
      </c>
      <c r="M25" s="5">
        <v>17</v>
      </c>
      <c r="N25" s="5">
        <v>635</v>
      </c>
      <c r="O25" s="6"/>
      <c r="P25" s="6">
        <f t="shared" si="0"/>
        <v>1099</v>
      </c>
      <c r="Q25" s="6">
        <f t="shared" si="1"/>
        <v>300</v>
      </c>
      <c r="R25" s="6">
        <f t="shared" si="2"/>
        <v>27</v>
      </c>
      <c r="S25" s="6">
        <f t="shared" si="3"/>
        <v>27</v>
      </c>
      <c r="T25" s="6">
        <f t="shared" si="4"/>
        <v>3817</v>
      </c>
      <c r="U25" s="6"/>
      <c r="V25" s="6"/>
      <c r="W25" s="5"/>
      <c r="X25" s="5"/>
      <c r="Y25" s="5"/>
      <c r="Z25" s="6">
        <f t="shared" si="5"/>
        <v>3817</v>
      </c>
    </row>
    <row r="26" spans="2:26">
      <c r="B26" s="4" t="s">
        <v>80</v>
      </c>
      <c r="C26" s="4" t="s">
        <v>81</v>
      </c>
      <c r="D26" s="4" t="s">
        <v>82</v>
      </c>
      <c r="E26" s="4" t="s">
        <v>25</v>
      </c>
      <c r="F26" s="5">
        <v>591</v>
      </c>
      <c r="G26" s="5">
        <v>50</v>
      </c>
      <c r="H26" s="5">
        <v>909</v>
      </c>
      <c r="I26" s="5">
        <v>803</v>
      </c>
      <c r="J26" s="5">
        <v>315</v>
      </c>
      <c r="K26" s="5">
        <v>950</v>
      </c>
      <c r="L26" s="5">
        <v>140</v>
      </c>
      <c r="M26" s="5">
        <v>17</v>
      </c>
      <c r="N26" s="5">
        <v>635</v>
      </c>
      <c r="O26" s="6"/>
      <c r="P26" s="6">
        <f t="shared" si="0"/>
        <v>1099</v>
      </c>
      <c r="Q26" s="6">
        <f t="shared" si="1"/>
        <v>950</v>
      </c>
      <c r="R26" s="6">
        <f t="shared" si="2"/>
        <v>86</v>
      </c>
      <c r="S26" s="6">
        <f t="shared" si="3"/>
        <v>86</v>
      </c>
      <c r="T26" s="6">
        <f t="shared" si="4"/>
        <v>4582</v>
      </c>
      <c r="U26" s="5">
        <v>3941</v>
      </c>
      <c r="V26" s="6"/>
      <c r="W26" s="5">
        <f t="shared" si="6"/>
        <v>70</v>
      </c>
      <c r="X26" s="5">
        <f t="shared" ref="X26:X27" si="9">ROUND(W26*9/100,0)</f>
        <v>6</v>
      </c>
      <c r="Y26" s="5">
        <f t="shared" ref="Y26:Y27" si="10">X26</f>
        <v>6</v>
      </c>
      <c r="Z26" s="6">
        <f t="shared" si="5"/>
        <v>8605</v>
      </c>
    </row>
    <row r="27" spans="2:26">
      <c r="B27" s="4" t="s">
        <v>83</v>
      </c>
      <c r="C27" s="4" t="s">
        <v>84</v>
      </c>
      <c r="D27" s="4" t="s">
        <v>85</v>
      </c>
      <c r="E27" s="4" t="s">
        <v>25</v>
      </c>
      <c r="F27" s="5">
        <v>593</v>
      </c>
      <c r="G27" s="5">
        <v>50</v>
      </c>
      <c r="H27" s="5">
        <v>909</v>
      </c>
      <c r="I27" s="5">
        <v>803</v>
      </c>
      <c r="J27" s="5">
        <v>315</v>
      </c>
      <c r="K27" s="6"/>
      <c r="L27" s="5">
        <v>140</v>
      </c>
      <c r="M27" s="5">
        <v>17</v>
      </c>
      <c r="N27" s="5">
        <v>635</v>
      </c>
      <c r="O27" s="6"/>
      <c r="P27" s="6">
        <f t="shared" si="0"/>
        <v>1099</v>
      </c>
      <c r="Q27" s="6">
        <f t="shared" si="1"/>
        <v>0</v>
      </c>
      <c r="R27" s="6">
        <f t="shared" si="2"/>
        <v>0</v>
      </c>
      <c r="S27" s="6">
        <f t="shared" si="3"/>
        <v>0</v>
      </c>
      <c r="T27" s="6">
        <f t="shared" si="4"/>
        <v>3462</v>
      </c>
      <c r="U27" s="5">
        <v>2821</v>
      </c>
      <c r="V27" s="6"/>
      <c r="W27" s="5">
        <f t="shared" si="6"/>
        <v>50</v>
      </c>
      <c r="X27" s="5">
        <f t="shared" si="9"/>
        <v>5</v>
      </c>
      <c r="Y27" s="5">
        <f t="shared" si="10"/>
        <v>5</v>
      </c>
      <c r="Z27" s="6">
        <f t="shared" si="5"/>
        <v>6343</v>
      </c>
    </row>
    <row r="28" spans="2:26">
      <c r="B28" s="4" t="s">
        <v>86</v>
      </c>
      <c r="C28" s="4" t="s">
        <v>87</v>
      </c>
      <c r="D28" s="4" t="s">
        <v>88</v>
      </c>
      <c r="E28" s="4" t="s">
        <v>25</v>
      </c>
      <c r="F28" s="5">
        <v>608</v>
      </c>
      <c r="G28" s="5">
        <v>50</v>
      </c>
      <c r="H28" s="5">
        <v>909</v>
      </c>
      <c r="I28" s="5">
        <v>803</v>
      </c>
      <c r="J28" s="5">
        <v>315</v>
      </c>
      <c r="K28" s="6"/>
      <c r="L28" s="5">
        <v>140</v>
      </c>
      <c r="M28" s="5">
        <v>17</v>
      </c>
      <c r="N28" s="5">
        <v>635</v>
      </c>
      <c r="O28" s="6"/>
      <c r="P28" s="6">
        <f t="shared" si="0"/>
        <v>1099</v>
      </c>
      <c r="Q28" s="6">
        <f t="shared" si="1"/>
        <v>0</v>
      </c>
      <c r="R28" s="6">
        <f t="shared" si="2"/>
        <v>0</v>
      </c>
      <c r="S28" s="6">
        <f t="shared" si="3"/>
        <v>0</v>
      </c>
      <c r="T28" s="6">
        <f t="shared" si="4"/>
        <v>3477</v>
      </c>
      <c r="U28" s="6"/>
      <c r="V28" s="6"/>
      <c r="W28" s="5"/>
      <c r="X28" s="5"/>
      <c r="Y28" s="5"/>
      <c r="Z28" s="6">
        <f t="shared" si="5"/>
        <v>3477</v>
      </c>
    </row>
    <row r="29" spans="2:26">
      <c r="B29" s="4" t="s">
        <v>89</v>
      </c>
      <c r="C29" s="4" t="s">
        <v>90</v>
      </c>
      <c r="D29" s="4" t="s">
        <v>91</v>
      </c>
      <c r="E29" s="4" t="s">
        <v>25</v>
      </c>
      <c r="F29" s="5">
        <v>594</v>
      </c>
      <c r="G29" s="5">
        <v>50</v>
      </c>
      <c r="H29" s="5">
        <v>909</v>
      </c>
      <c r="I29" s="5">
        <v>803</v>
      </c>
      <c r="J29" s="5">
        <v>315</v>
      </c>
      <c r="K29" s="5">
        <v>350</v>
      </c>
      <c r="L29" s="5">
        <v>140</v>
      </c>
      <c r="M29" s="5">
        <v>17</v>
      </c>
      <c r="N29" s="5">
        <v>635</v>
      </c>
      <c r="O29" s="6"/>
      <c r="P29" s="6">
        <f t="shared" si="0"/>
        <v>1099</v>
      </c>
      <c r="Q29" s="6">
        <f t="shared" si="1"/>
        <v>350</v>
      </c>
      <c r="R29" s="6">
        <f t="shared" si="2"/>
        <v>32</v>
      </c>
      <c r="S29" s="6">
        <f t="shared" si="3"/>
        <v>32</v>
      </c>
      <c r="T29" s="6">
        <f t="shared" si="4"/>
        <v>3877</v>
      </c>
      <c r="U29" s="5">
        <v>3236</v>
      </c>
      <c r="V29" s="6"/>
      <c r="W29" s="5">
        <f t="shared" si="6"/>
        <v>58</v>
      </c>
      <c r="X29" s="5">
        <f>ROUND(W29*9/100,0)</f>
        <v>5</v>
      </c>
      <c r="Y29" s="5">
        <f>X29</f>
        <v>5</v>
      </c>
      <c r="Z29" s="6">
        <f t="shared" si="5"/>
        <v>7181</v>
      </c>
    </row>
    <row r="30" spans="2:26">
      <c r="B30" s="4" t="s">
        <v>92</v>
      </c>
      <c r="C30" s="4" t="s">
        <v>93</v>
      </c>
      <c r="D30" s="4" t="s">
        <v>94</v>
      </c>
      <c r="E30" s="4" t="s">
        <v>25</v>
      </c>
      <c r="F30" s="5">
        <v>591</v>
      </c>
      <c r="G30" s="5">
        <v>50</v>
      </c>
      <c r="H30" s="5">
        <v>909</v>
      </c>
      <c r="I30" s="5">
        <v>803</v>
      </c>
      <c r="J30" s="5">
        <v>315</v>
      </c>
      <c r="K30" s="5">
        <v>300</v>
      </c>
      <c r="L30" s="5">
        <v>140</v>
      </c>
      <c r="M30" s="5">
        <v>17</v>
      </c>
      <c r="N30" s="5">
        <v>635</v>
      </c>
      <c r="O30" s="6"/>
      <c r="P30" s="6">
        <f t="shared" si="0"/>
        <v>1099</v>
      </c>
      <c r="Q30" s="6">
        <f t="shared" si="1"/>
        <v>300</v>
      </c>
      <c r="R30" s="6">
        <f t="shared" si="2"/>
        <v>27</v>
      </c>
      <c r="S30" s="6">
        <f t="shared" si="3"/>
        <v>27</v>
      </c>
      <c r="T30" s="6">
        <f t="shared" si="4"/>
        <v>3814</v>
      </c>
      <c r="U30" s="6"/>
      <c r="V30" s="6"/>
      <c r="W30" s="5"/>
      <c r="X30" s="5"/>
      <c r="Y30" s="5"/>
      <c r="Z30" s="6">
        <f t="shared" si="5"/>
        <v>3814</v>
      </c>
    </row>
    <row r="31" spans="2:26">
      <c r="B31" s="4" t="s">
        <v>95</v>
      </c>
      <c r="C31" s="4" t="s">
        <v>96</v>
      </c>
      <c r="D31" s="4" t="s">
        <v>97</v>
      </c>
      <c r="E31" s="4" t="s">
        <v>25</v>
      </c>
      <c r="F31" s="5">
        <v>593</v>
      </c>
      <c r="G31" s="5">
        <v>50</v>
      </c>
      <c r="H31" s="5">
        <v>909</v>
      </c>
      <c r="I31" s="5">
        <v>803</v>
      </c>
      <c r="J31" s="5">
        <v>315</v>
      </c>
      <c r="K31" s="5">
        <v>300</v>
      </c>
      <c r="L31" s="5">
        <v>140</v>
      </c>
      <c r="M31" s="5">
        <v>17</v>
      </c>
      <c r="N31" s="5">
        <v>635</v>
      </c>
      <c r="O31" s="6"/>
      <c r="P31" s="6">
        <f t="shared" si="0"/>
        <v>1099</v>
      </c>
      <c r="Q31" s="6">
        <f t="shared" si="1"/>
        <v>300</v>
      </c>
      <c r="R31" s="6">
        <f t="shared" si="2"/>
        <v>27</v>
      </c>
      <c r="S31" s="6">
        <f t="shared" si="3"/>
        <v>27</v>
      </c>
      <c r="T31" s="6">
        <f t="shared" si="4"/>
        <v>3816</v>
      </c>
      <c r="U31" s="6"/>
      <c r="V31" s="6"/>
      <c r="W31" s="5"/>
      <c r="X31" s="5"/>
      <c r="Y31" s="5"/>
      <c r="Z31" s="6">
        <f t="shared" si="5"/>
        <v>3816</v>
      </c>
    </row>
    <row r="32" spans="2:26">
      <c r="B32" s="4" t="s">
        <v>98</v>
      </c>
      <c r="C32" s="4" t="s">
        <v>99</v>
      </c>
      <c r="D32" s="4" t="s">
        <v>100</v>
      </c>
      <c r="E32" s="4" t="s">
        <v>25</v>
      </c>
      <c r="F32" s="5">
        <v>608</v>
      </c>
      <c r="G32" s="5">
        <v>50</v>
      </c>
      <c r="H32" s="5">
        <v>909</v>
      </c>
      <c r="I32" s="5">
        <v>803</v>
      </c>
      <c r="J32" s="5">
        <v>315</v>
      </c>
      <c r="K32" s="5">
        <v>100</v>
      </c>
      <c r="L32" s="5">
        <v>140</v>
      </c>
      <c r="M32" s="5">
        <v>17</v>
      </c>
      <c r="N32" s="5">
        <v>635</v>
      </c>
      <c r="O32" s="6"/>
      <c r="P32" s="6">
        <f t="shared" si="0"/>
        <v>1099</v>
      </c>
      <c r="Q32" s="6">
        <f t="shared" si="1"/>
        <v>100</v>
      </c>
      <c r="R32" s="6">
        <f t="shared" si="2"/>
        <v>9</v>
      </c>
      <c r="S32" s="6">
        <f t="shared" si="3"/>
        <v>9</v>
      </c>
      <c r="T32" s="6">
        <f t="shared" si="4"/>
        <v>3595</v>
      </c>
      <c r="U32" s="5">
        <v>-3498</v>
      </c>
      <c r="V32" s="6"/>
      <c r="W32" s="5"/>
      <c r="X32" s="5"/>
      <c r="Y32" s="5"/>
      <c r="Z32" s="6">
        <f t="shared" si="5"/>
        <v>97</v>
      </c>
    </row>
    <row r="33" spans="2:26">
      <c r="B33" s="4" t="s">
        <v>101</v>
      </c>
      <c r="C33" s="4" t="s">
        <v>102</v>
      </c>
      <c r="D33" s="4" t="s">
        <v>103</v>
      </c>
      <c r="E33" s="4" t="s">
        <v>25</v>
      </c>
      <c r="F33" s="5">
        <v>594</v>
      </c>
      <c r="G33" s="5">
        <v>50</v>
      </c>
      <c r="H33" s="5">
        <v>909</v>
      </c>
      <c r="I33" s="5">
        <v>803</v>
      </c>
      <c r="J33" s="5">
        <v>315</v>
      </c>
      <c r="K33" s="5">
        <v>200</v>
      </c>
      <c r="L33" s="5">
        <v>140</v>
      </c>
      <c r="M33" s="5">
        <v>17</v>
      </c>
      <c r="N33" s="5">
        <v>635</v>
      </c>
      <c r="O33" s="5">
        <v>101</v>
      </c>
      <c r="P33" s="6">
        <f t="shared" si="0"/>
        <v>1099</v>
      </c>
      <c r="Q33" s="6">
        <f t="shared" si="1"/>
        <v>301</v>
      </c>
      <c r="R33" s="6">
        <f t="shared" si="2"/>
        <v>27</v>
      </c>
      <c r="S33" s="6">
        <f t="shared" si="3"/>
        <v>27</v>
      </c>
      <c r="T33" s="6">
        <f t="shared" si="4"/>
        <v>3818</v>
      </c>
      <c r="U33" s="6"/>
      <c r="V33" s="6"/>
      <c r="W33" s="5"/>
      <c r="X33" s="5"/>
      <c r="Y33" s="5"/>
      <c r="Z33" s="6">
        <f t="shared" si="5"/>
        <v>3818</v>
      </c>
    </row>
    <row r="34" spans="2:26">
      <c r="B34" s="4" t="s">
        <v>104</v>
      </c>
      <c r="C34" s="4" t="s">
        <v>105</v>
      </c>
      <c r="D34" s="4" t="s">
        <v>106</v>
      </c>
      <c r="E34" s="4" t="s">
        <v>25</v>
      </c>
      <c r="F34" s="5">
        <v>591</v>
      </c>
      <c r="G34" s="5">
        <v>50</v>
      </c>
      <c r="H34" s="5">
        <v>909</v>
      </c>
      <c r="I34" s="5">
        <v>803</v>
      </c>
      <c r="J34" s="5">
        <v>315</v>
      </c>
      <c r="K34" s="6"/>
      <c r="L34" s="5">
        <v>140</v>
      </c>
      <c r="M34" s="5">
        <v>17</v>
      </c>
      <c r="N34" s="5">
        <v>635</v>
      </c>
      <c r="O34" s="6"/>
      <c r="P34" s="6">
        <f t="shared" si="0"/>
        <v>1099</v>
      </c>
      <c r="Q34" s="6">
        <f t="shared" si="1"/>
        <v>0</v>
      </c>
      <c r="R34" s="6">
        <f t="shared" si="2"/>
        <v>0</v>
      </c>
      <c r="S34" s="6">
        <f t="shared" si="3"/>
        <v>0</v>
      </c>
      <c r="T34" s="6">
        <f t="shared" si="4"/>
        <v>3460</v>
      </c>
      <c r="U34" s="6"/>
      <c r="V34" s="6"/>
      <c r="W34" s="5"/>
      <c r="X34" s="5"/>
      <c r="Y34" s="5"/>
      <c r="Z34" s="6">
        <f t="shared" si="5"/>
        <v>3460</v>
      </c>
    </row>
    <row r="35" spans="2:26">
      <c r="B35" s="4" t="s">
        <v>107</v>
      </c>
      <c r="C35" s="4" t="s">
        <v>108</v>
      </c>
      <c r="D35" s="4" t="s">
        <v>109</v>
      </c>
      <c r="E35" s="4" t="s">
        <v>25</v>
      </c>
      <c r="F35" s="5">
        <v>593</v>
      </c>
      <c r="G35" s="5">
        <v>50</v>
      </c>
      <c r="H35" s="5">
        <v>909</v>
      </c>
      <c r="I35" s="5">
        <v>803</v>
      </c>
      <c r="J35" s="5">
        <v>315</v>
      </c>
      <c r="K35" s="6"/>
      <c r="L35" s="5">
        <v>140</v>
      </c>
      <c r="M35" s="5">
        <v>17</v>
      </c>
      <c r="N35" s="5">
        <v>635</v>
      </c>
      <c r="O35" s="6"/>
      <c r="P35" s="6">
        <f t="shared" si="0"/>
        <v>1099</v>
      </c>
      <c r="Q35" s="6">
        <f t="shared" si="1"/>
        <v>0</v>
      </c>
      <c r="R35" s="6">
        <f t="shared" si="2"/>
        <v>0</v>
      </c>
      <c r="S35" s="6">
        <f t="shared" si="3"/>
        <v>0</v>
      </c>
      <c r="T35" s="6">
        <f t="shared" si="4"/>
        <v>3462</v>
      </c>
      <c r="U35" s="6"/>
      <c r="V35" s="6"/>
      <c r="W35" s="5"/>
      <c r="X35" s="5"/>
      <c r="Y35" s="5"/>
      <c r="Z35" s="6">
        <f t="shared" si="5"/>
        <v>3462</v>
      </c>
    </row>
    <row r="36" spans="2:26">
      <c r="B36" s="4" t="s">
        <v>110</v>
      </c>
      <c r="C36" s="4" t="s">
        <v>111</v>
      </c>
      <c r="D36" s="4" t="s">
        <v>112</v>
      </c>
      <c r="E36" s="4" t="s">
        <v>25</v>
      </c>
      <c r="F36" s="5">
        <v>608</v>
      </c>
      <c r="G36" s="5">
        <v>50</v>
      </c>
      <c r="H36" s="5">
        <v>909</v>
      </c>
      <c r="I36" s="5">
        <v>803</v>
      </c>
      <c r="J36" s="5">
        <v>315</v>
      </c>
      <c r="K36" s="5">
        <v>350</v>
      </c>
      <c r="L36" s="5">
        <v>140</v>
      </c>
      <c r="M36" s="5">
        <v>17</v>
      </c>
      <c r="N36" s="5">
        <v>635</v>
      </c>
      <c r="O36" s="6"/>
      <c r="P36" s="6">
        <f t="shared" si="0"/>
        <v>1099</v>
      </c>
      <c r="Q36" s="6">
        <f t="shared" si="1"/>
        <v>350</v>
      </c>
      <c r="R36" s="6">
        <f t="shared" si="2"/>
        <v>32</v>
      </c>
      <c r="S36" s="6">
        <f t="shared" si="3"/>
        <v>32</v>
      </c>
      <c r="T36" s="6">
        <f t="shared" si="4"/>
        <v>3891</v>
      </c>
      <c r="U36" s="6"/>
      <c r="V36" s="6"/>
      <c r="W36" s="5"/>
      <c r="X36" s="5"/>
      <c r="Y36" s="5"/>
      <c r="Z36" s="6">
        <f t="shared" si="5"/>
        <v>3891</v>
      </c>
    </row>
    <row r="37" spans="2:26">
      <c r="B37" s="4" t="s">
        <v>113</v>
      </c>
      <c r="C37" s="4" t="s">
        <v>114</v>
      </c>
      <c r="D37" s="4" t="s">
        <v>115</v>
      </c>
      <c r="E37" s="4" t="s">
        <v>25</v>
      </c>
      <c r="F37" s="5">
        <v>594</v>
      </c>
      <c r="G37" s="5">
        <v>50</v>
      </c>
      <c r="H37" s="5">
        <v>909</v>
      </c>
      <c r="I37" s="5">
        <v>803</v>
      </c>
      <c r="J37" s="5">
        <v>315</v>
      </c>
      <c r="K37" s="5">
        <v>700</v>
      </c>
      <c r="L37" s="5">
        <v>140</v>
      </c>
      <c r="M37" s="5">
        <v>17</v>
      </c>
      <c r="N37" s="5">
        <v>635</v>
      </c>
      <c r="O37" s="5">
        <v>101</v>
      </c>
      <c r="P37" s="6">
        <f t="shared" si="0"/>
        <v>1099</v>
      </c>
      <c r="Q37" s="6">
        <f t="shared" si="1"/>
        <v>801</v>
      </c>
      <c r="R37" s="6">
        <f t="shared" si="2"/>
        <v>72</v>
      </c>
      <c r="S37" s="6">
        <f t="shared" si="3"/>
        <v>72</v>
      </c>
      <c r="T37" s="6">
        <f t="shared" si="4"/>
        <v>4408</v>
      </c>
      <c r="U37" s="6"/>
      <c r="V37" s="6"/>
      <c r="W37" s="5"/>
      <c r="X37" s="5"/>
      <c r="Y37" s="5"/>
      <c r="Z37" s="6">
        <f t="shared" si="5"/>
        <v>4408</v>
      </c>
    </row>
    <row r="38" spans="2:26">
      <c r="B38" s="4" t="s">
        <v>116</v>
      </c>
      <c r="C38" s="4" t="s">
        <v>117</v>
      </c>
      <c r="D38" s="4" t="s">
        <v>118</v>
      </c>
      <c r="E38" s="4" t="s">
        <v>25</v>
      </c>
      <c r="F38" s="5">
        <v>591</v>
      </c>
      <c r="G38" s="5">
        <v>50</v>
      </c>
      <c r="H38" s="5">
        <v>909</v>
      </c>
      <c r="I38" s="5">
        <v>803</v>
      </c>
      <c r="J38" s="5">
        <v>315</v>
      </c>
      <c r="K38" s="5">
        <v>250</v>
      </c>
      <c r="L38" s="5">
        <v>140</v>
      </c>
      <c r="M38" s="5">
        <v>17</v>
      </c>
      <c r="N38" s="5">
        <v>635</v>
      </c>
      <c r="O38" s="6"/>
      <c r="P38" s="6">
        <f t="shared" si="0"/>
        <v>1099</v>
      </c>
      <c r="Q38" s="6">
        <f t="shared" si="1"/>
        <v>250</v>
      </c>
      <c r="R38" s="6">
        <f t="shared" si="2"/>
        <v>23</v>
      </c>
      <c r="S38" s="6">
        <f t="shared" si="3"/>
        <v>23</v>
      </c>
      <c r="T38" s="6">
        <f t="shared" si="4"/>
        <v>3756</v>
      </c>
      <c r="U38" s="6"/>
      <c r="V38" s="6"/>
      <c r="W38" s="5"/>
      <c r="X38" s="5"/>
      <c r="Y38" s="5"/>
      <c r="Z38" s="6">
        <f t="shared" si="5"/>
        <v>3756</v>
      </c>
    </row>
    <row r="39" spans="2:26">
      <c r="B39" s="4" t="s">
        <v>119</v>
      </c>
      <c r="C39" s="4" t="s">
        <v>120</v>
      </c>
      <c r="D39" s="4" t="s">
        <v>121</v>
      </c>
      <c r="E39" s="4" t="s">
        <v>25</v>
      </c>
      <c r="F39" s="5">
        <v>565</v>
      </c>
      <c r="G39" s="5">
        <v>50</v>
      </c>
      <c r="H39" s="5">
        <v>909</v>
      </c>
      <c r="I39" s="5">
        <v>803</v>
      </c>
      <c r="J39" s="5">
        <v>315</v>
      </c>
      <c r="K39" s="6"/>
      <c r="L39" s="5">
        <v>140</v>
      </c>
      <c r="M39" s="5">
        <v>17</v>
      </c>
      <c r="N39" s="5">
        <v>635</v>
      </c>
      <c r="O39" s="6"/>
      <c r="P39" s="6">
        <f t="shared" si="0"/>
        <v>1099</v>
      </c>
      <c r="Q39" s="6">
        <f t="shared" si="1"/>
        <v>0</v>
      </c>
      <c r="R39" s="6">
        <f t="shared" si="2"/>
        <v>0</v>
      </c>
      <c r="S39" s="6">
        <f t="shared" si="3"/>
        <v>0</v>
      </c>
      <c r="T39" s="6">
        <f t="shared" si="4"/>
        <v>3434</v>
      </c>
      <c r="U39" s="5">
        <v>-431</v>
      </c>
      <c r="V39" s="6"/>
      <c r="W39" s="5"/>
      <c r="X39" s="5"/>
      <c r="Y39" s="5"/>
      <c r="Z39" s="6">
        <f t="shared" si="5"/>
        <v>3003</v>
      </c>
    </row>
    <row r="40" spans="2:26">
      <c r="B40" s="4" t="s">
        <v>122</v>
      </c>
      <c r="C40" s="4" t="s">
        <v>123</v>
      </c>
      <c r="D40" s="4" t="s">
        <v>124</v>
      </c>
      <c r="E40" s="4" t="s">
        <v>25</v>
      </c>
      <c r="F40" s="5">
        <v>565</v>
      </c>
      <c r="G40" s="5">
        <v>50</v>
      </c>
      <c r="H40" s="5">
        <v>909</v>
      </c>
      <c r="I40" s="5">
        <v>803</v>
      </c>
      <c r="J40" s="5">
        <v>315</v>
      </c>
      <c r="K40" s="5">
        <v>100</v>
      </c>
      <c r="L40" s="5">
        <v>140</v>
      </c>
      <c r="M40" s="5">
        <v>17</v>
      </c>
      <c r="N40" s="5">
        <v>635</v>
      </c>
      <c r="O40" s="6"/>
      <c r="P40" s="6">
        <f t="shared" si="0"/>
        <v>1099</v>
      </c>
      <c r="Q40" s="6">
        <f t="shared" si="1"/>
        <v>100</v>
      </c>
      <c r="R40" s="6">
        <f t="shared" si="2"/>
        <v>9</v>
      </c>
      <c r="S40" s="6">
        <f t="shared" si="3"/>
        <v>9</v>
      </c>
      <c r="T40" s="6">
        <f t="shared" si="4"/>
        <v>3552</v>
      </c>
      <c r="U40" s="6"/>
      <c r="V40" s="6"/>
      <c r="W40" s="5"/>
      <c r="X40" s="5"/>
      <c r="Y40" s="5"/>
      <c r="Z40" s="6">
        <f t="shared" si="5"/>
        <v>3552</v>
      </c>
    </row>
    <row r="41" spans="2:26">
      <c r="B41" s="4" t="s">
        <v>125</v>
      </c>
      <c r="C41" s="4" t="s">
        <v>126</v>
      </c>
      <c r="D41" s="4" t="s">
        <v>127</v>
      </c>
      <c r="E41" s="4" t="s">
        <v>25</v>
      </c>
      <c r="F41" s="5">
        <v>764</v>
      </c>
      <c r="G41" s="5">
        <v>65</v>
      </c>
      <c r="H41" s="5">
        <v>929</v>
      </c>
      <c r="I41" s="5">
        <v>930</v>
      </c>
      <c r="J41" s="5">
        <v>315</v>
      </c>
      <c r="K41" s="6"/>
      <c r="L41" s="5">
        <v>190</v>
      </c>
      <c r="M41" s="5">
        <v>17</v>
      </c>
      <c r="N41" s="5">
        <v>635</v>
      </c>
      <c r="O41" s="6"/>
      <c r="P41" s="6">
        <f t="shared" si="0"/>
        <v>1184</v>
      </c>
      <c r="Q41" s="6">
        <f t="shared" si="1"/>
        <v>0</v>
      </c>
      <c r="R41" s="6">
        <f t="shared" si="2"/>
        <v>0</v>
      </c>
      <c r="S41" s="6">
        <f t="shared" si="3"/>
        <v>0</v>
      </c>
      <c r="T41" s="6">
        <f t="shared" si="4"/>
        <v>3845</v>
      </c>
      <c r="U41" s="5">
        <v>6408</v>
      </c>
      <c r="V41" s="5">
        <v>62</v>
      </c>
      <c r="W41" s="5">
        <f t="shared" si="6"/>
        <v>114</v>
      </c>
      <c r="X41" s="5">
        <f>ROUND(W41*9/100,0)</f>
        <v>10</v>
      </c>
      <c r="Y41" s="5">
        <f>X41</f>
        <v>10</v>
      </c>
      <c r="Z41" s="6">
        <f t="shared" si="5"/>
        <v>10449</v>
      </c>
    </row>
    <row r="42" spans="2:26">
      <c r="B42" s="4" t="s">
        <v>128</v>
      </c>
      <c r="C42" s="4" t="s">
        <v>129</v>
      </c>
      <c r="D42" s="4" t="s">
        <v>130</v>
      </c>
      <c r="E42" s="4" t="s">
        <v>25</v>
      </c>
      <c r="F42" s="5">
        <v>511</v>
      </c>
      <c r="G42" s="5">
        <v>50</v>
      </c>
      <c r="H42" s="5">
        <v>909</v>
      </c>
      <c r="I42" s="5">
        <v>803</v>
      </c>
      <c r="J42" s="5">
        <v>315</v>
      </c>
      <c r="K42" s="6"/>
      <c r="L42" s="5">
        <v>140</v>
      </c>
      <c r="M42" s="5">
        <v>17</v>
      </c>
      <c r="N42" s="5">
        <v>635</v>
      </c>
      <c r="O42" s="6"/>
      <c r="P42" s="6">
        <f t="shared" si="0"/>
        <v>1099</v>
      </c>
      <c r="Q42" s="6">
        <f t="shared" si="1"/>
        <v>0</v>
      </c>
      <c r="R42" s="6">
        <f t="shared" si="2"/>
        <v>0</v>
      </c>
      <c r="S42" s="6">
        <f t="shared" si="3"/>
        <v>0</v>
      </c>
      <c r="T42" s="6">
        <f t="shared" si="4"/>
        <v>3380</v>
      </c>
      <c r="U42" s="6"/>
      <c r="V42" s="6"/>
      <c r="W42" s="5"/>
      <c r="X42" s="5"/>
      <c r="Y42" s="5"/>
      <c r="Z42" s="6">
        <f t="shared" si="5"/>
        <v>3380</v>
      </c>
    </row>
    <row r="43" spans="2:26">
      <c r="B43" s="4" t="s">
        <v>131</v>
      </c>
      <c r="C43" s="4" t="s">
        <v>132</v>
      </c>
      <c r="D43" s="4" t="s">
        <v>133</v>
      </c>
      <c r="E43" s="4" t="s">
        <v>25</v>
      </c>
      <c r="F43" s="5">
        <v>565</v>
      </c>
      <c r="G43" s="5">
        <v>50</v>
      </c>
      <c r="H43" s="5">
        <v>909</v>
      </c>
      <c r="I43" s="5">
        <v>803</v>
      </c>
      <c r="J43" s="5">
        <v>315</v>
      </c>
      <c r="K43" s="5">
        <v>100</v>
      </c>
      <c r="L43" s="5">
        <v>140</v>
      </c>
      <c r="M43" s="5">
        <v>17</v>
      </c>
      <c r="N43" s="5">
        <v>635</v>
      </c>
      <c r="O43" s="6"/>
      <c r="P43" s="6">
        <f t="shared" si="0"/>
        <v>1099</v>
      </c>
      <c r="Q43" s="6">
        <f t="shared" si="1"/>
        <v>100</v>
      </c>
      <c r="R43" s="6">
        <f t="shared" si="2"/>
        <v>9</v>
      </c>
      <c r="S43" s="6">
        <f t="shared" si="3"/>
        <v>9</v>
      </c>
      <c r="T43" s="6">
        <f t="shared" si="4"/>
        <v>3552</v>
      </c>
      <c r="U43" s="6"/>
      <c r="V43" s="6"/>
      <c r="W43" s="5"/>
      <c r="X43" s="5">
        <f>ROUND(W43*9/100,0)</f>
        <v>0</v>
      </c>
      <c r="Y43" s="5">
        <f>X43</f>
        <v>0</v>
      </c>
      <c r="Z43" s="6">
        <f t="shared" si="5"/>
        <v>3552</v>
      </c>
    </row>
    <row r="44" spans="2:26">
      <c r="B44" s="4" t="s">
        <v>134</v>
      </c>
      <c r="C44" s="4" t="s">
        <v>135</v>
      </c>
      <c r="D44" s="4" t="s">
        <v>136</v>
      </c>
      <c r="E44" s="4" t="s">
        <v>25</v>
      </c>
      <c r="F44" s="5">
        <v>559</v>
      </c>
      <c r="G44" s="5">
        <v>50</v>
      </c>
      <c r="H44" s="5">
        <v>909</v>
      </c>
      <c r="I44" s="5">
        <v>803</v>
      </c>
      <c r="J44" s="5">
        <v>315</v>
      </c>
      <c r="K44" s="5">
        <v>250</v>
      </c>
      <c r="L44" s="5">
        <v>140</v>
      </c>
      <c r="M44" s="5">
        <v>17</v>
      </c>
      <c r="N44" s="5">
        <v>635</v>
      </c>
      <c r="O44" s="6"/>
      <c r="P44" s="6">
        <f t="shared" si="0"/>
        <v>1099</v>
      </c>
      <c r="Q44" s="6">
        <f t="shared" si="1"/>
        <v>250</v>
      </c>
      <c r="R44" s="6">
        <f t="shared" si="2"/>
        <v>23</v>
      </c>
      <c r="S44" s="6">
        <f t="shared" si="3"/>
        <v>23</v>
      </c>
      <c r="T44" s="6">
        <f t="shared" si="4"/>
        <v>3724</v>
      </c>
      <c r="U44" s="5">
        <v>3083</v>
      </c>
      <c r="V44" s="6"/>
      <c r="W44" s="5">
        <f t="shared" si="6"/>
        <v>55</v>
      </c>
      <c r="X44" s="5">
        <f>ROUND(W44*9/100,0)</f>
        <v>5</v>
      </c>
      <c r="Y44" s="5">
        <f>X44</f>
        <v>5</v>
      </c>
      <c r="Z44" s="6">
        <f t="shared" si="5"/>
        <v>6872</v>
      </c>
    </row>
    <row r="45" spans="2:26">
      <c r="B45" s="4" t="s">
        <v>137</v>
      </c>
      <c r="C45" s="4" t="s">
        <v>138</v>
      </c>
      <c r="D45" s="4" t="s">
        <v>139</v>
      </c>
      <c r="E45" s="4" t="s">
        <v>25</v>
      </c>
      <c r="F45" s="5">
        <v>764</v>
      </c>
      <c r="G45" s="5">
        <v>65</v>
      </c>
      <c r="H45" s="5">
        <v>929</v>
      </c>
      <c r="I45" s="5">
        <v>930</v>
      </c>
      <c r="J45" s="5">
        <v>315</v>
      </c>
      <c r="K45" s="5">
        <v>100</v>
      </c>
      <c r="L45" s="5">
        <v>190</v>
      </c>
      <c r="M45" s="5">
        <v>17</v>
      </c>
      <c r="N45" s="5">
        <v>635</v>
      </c>
      <c r="O45" s="6"/>
      <c r="P45" s="6">
        <f t="shared" si="0"/>
        <v>1184</v>
      </c>
      <c r="Q45" s="6">
        <f t="shared" si="1"/>
        <v>100</v>
      </c>
      <c r="R45" s="6">
        <f t="shared" si="2"/>
        <v>9</v>
      </c>
      <c r="S45" s="6">
        <f t="shared" si="3"/>
        <v>9</v>
      </c>
      <c r="T45" s="6">
        <f t="shared" si="4"/>
        <v>3963</v>
      </c>
      <c r="U45" s="6"/>
      <c r="V45" s="6"/>
      <c r="W45" s="5"/>
      <c r="X45" s="5"/>
      <c r="Y45" s="5"/>
      <c r="Z45" s="6">
        <f t="shared" si="5"/>
        <v>3963</v>
      </c>
    </row>
    <row r="46" spans="2:26">
      <c r="B46" s="4" t="s">
        <v>140</v>
      </c>
      <c r="C46" s="4" t="s">
        <v>141</v>
      </c>
      <c r="D46" s="4" t="s">
        <v>142</v>
      </c>
      <c r="E46" s="4" t="s">
        <v>25</v>
      </c>
      <c r="F46" s="5">
        <v>511</v>
      </c>
      <c r="G46" s="5">
        <v>50</v>
      </c>
      <c r="H46" s="5">
        <v>909</v>
      </c>
      <c r="I46" s="5">
        <v>803</v>
      </c>
      <c r="J46" s="5">
        <v>315</v>
      </c>
      <c r="K46" s="5">
        <v>300</v>
      </c>
      <c r="L46" s="5">
        <v>140</v>
      </c>
      <c r="M46" s="5">
        <v>17</v>
      </c>
      <c r="N46" s="5">
        <v>635</v>
      </c>
      <c r="O46" s="6"/>
      <c r="P46" s="6">
        <f t="shared" si="0"/>
        <v>1099</v>
      </c>
      <c r="Q46" s="6">
        <f t="shared" si="1"/>
        <v>300</v>
      </c>
      <c r="R46" s="6">
        <f t="shared" si="2"/>
        <v>27</v>
      </c>
      <c r="S46" s="6">
        <f t="shared" si="3"/>
        <v>27</v>
      </c>
      <c r="T46" s="6">
        <f t="shared" si="4"/>
        <v>3734</v>
      </c>
      <c r="U46" s="6"/>
      <c r="V46" s="6"/>
      <c r="W46" s="5"/>
      <c r="X46" s="5"/>
      <c r="Y46" s="5"/>
      <c r="Z46" s="6">
        <f t="shared" si="5"/>
        <v>3734</v>
      </c>
    </row>
    <row r="47" spans="2:26">
      <c r="B47" s="4" t="s">
        <v>143</v>
      </c>
      <c r="C47" s="4" t="s">
        <v>144</v>
      </c>
      <c r="D47" s="4" t="s">
        <v>145</v>
      </c>
      <c r="E47" s="4" t="s">
        <v>25</v>
      </c>
      <c r="F47" s="5">
        <v>565</v>
      </c>
      <c r="G47" s="5">
        <v>50</v>
      </c>
      <c r="H47" s="5">
        <v>909</v>
      </c>
      <c r="I47" s="5">
        <v>803</v>
      </c>
      <c r="J47" s="5">
        <v>315</v>
      </c>
      <c r="K47" s="5">
        <v>100</v>
      </c>
      <c r="L47" s="5">
        <v>140</v>
      </c>
      <c r="M47" s="5">
        <v>17</v>
      </c>
      <c r="N47" s="5">
        <v>635</v>
      </c>
      <c r="O47" s="6"/>
      <c r="P47" s="6">
        <f t="shared" si="0"/>
        <v>1099</v>
      </c>
      <c r="Q47" s="6">
        <f t="shared" si="1"/>
        <v>100</v>
      </c>
      <c r="R47" s="6">
        <f t="shared" si="2"/>
        <v>9</v>
      </c>
      <c r="S47" s="6">
        <f t="shared" si="3"/>
        <v>9</v>
      </c>
      <c r="T47" s="6">
        <f t="shared" si="4"/>
        <v>3552</v>
      </c>
      <c r="U47" s="5">
        <v>-7089</v>
      </c>
      <c r="V47" s="6"/>
      <c r="W47" s="5"/>
      <c r="X47" s="5"/>
      <c r="Y47" s="5"/>
      <c r="Z47" s="6">
        <f t="shared" si="5"/>
        <v>-3537</v>
      </c>
    </row>
    <row r="48" spans="2:26">
      <c r="B48" s="4" t="s">
        <v>146</v>
      </c>
      <c r="C48" s="4" t="s">
        <v>147</v>
      </c>
      <c r="D48" s="4" t="s">
        <v>148</v>
      </c>
      <c r="E48" s="4" t="s">
        <v>25</v>
      </c>
      <c r="F48" s="5">
        <v>14</v>
      </c>
      <c r="G48" s="5">
        <v>50</v>
      </c>
      <c r="H48" s="5">
        <v>909</v>
      </c>
      <c r="I48" s="5">
        <v>803</v>
      </c>
      <c r="J48" s="5">
        <v>315</v>
      </c>
      <c r="K48" s="6"/>
      <c r="L48" s="5">
        <v>140</v>
      </c>
      <c r="M48" s="5">
        <v>17</v>
      </c>
      <c r="N48" s="5">
        <v>635</v>
      </c>
      <c r="O48" s="6"/>
      <c r="P48" s="6">
        <f t="shared" si="0"/>
        <v>1099</v>
      </c>
      <c r="Q48" s="6">
        <f t="shared" si="1"/>
        <v>0</v>
      </c>
      <c r="R48" s="6">
        <f t="shared" si="2"/>
        <v>0</v>
      </c>
      <c r="S48" s="6">
        <f t="shared" si="3"/>
        <v>0</v>
      </c>
      <c r="T48" s="6">
        <f t="shared" si="4"/>
        <v>2883</v>
      </c>
      <c r="U48" s="5">
        <v>4831</v>
      </c>
      <c r="V48" s="5">
        <v>39</v>
      </c>
      <c r="W48" s="5">
        <f t="shared" si="6"/>
        <v>86</v>
      </c>
      <c r="X48" s="5">
        <f>ROUND(W48*9/100,0)</f>
        <v>8</v>
      </c>
      <c r="Y48" s="5">
        <f>X48</f>
        <v>8</v>
      </c>
      <c r="Z48" s="6">
        <f t="shared" si="5"/>
        <v>7855</v>
      </c>
    </row>
    <row r="49" spans="2:26">
      <c r="B49" s="4" t="s">
        <v>149</v>
      </c>
      <c r="C49" s="4" t="s">
        <v>150</v>
      </c>
      <c r="D49" s="4" t="s">
        <v>151</v>
      </c>
      <c r="E49" s="4" t="s">
        <v>25</v>
      </c>
      <c r="F49" s="5">
        <v>764</v>
      </c>
      <c r="G49" s="5">
        <v>65</v>
      </c>
      <c r="H49" s="5">
        <v>929</v>
      </c>
      <c r="I49" s="5">
        <v>930</v>
      </c>
      <c r="J49" s="5">
        <v>315</v>
      </c>
      <c r="K49" s="5">
        <v>850</v>
      </c>
      <c r="L49" s="5">
        <v>190</v>
      </c>
      <c r="M49" s="5">
        <v>17</v>
      </c>
      <c r="N49" s="5">
        <v>635</v>
      </c>
      <c r="O49" s="6"/>
      <c r="P49" s="6">
        <f t="shared" si="0"/>
        <v>1184</v>
      </c>
      <c r="Q49" s="6">
        <f t="shared" si="1"/>
        <v>850</v>
      </c>
      <c r="R49" s="6">
        <f t="shared" si="2"/>
        <v>77</v>
      </c>
      <c r="S49" s="6">
        <f t="shared" si="3"/>
        <v>77</v>
      </c>
      <c r="T49" s="6">
        <f t="shared" si="4"/>
        <v>4849</v>
      </c>
      <c r="U49" s="6"/>
      <c r="V49" s="6"/>
      <c r="W49" s="5"/>
      <c r="X49" s="5"/>
      <c r="Y49" s="5"/>
      <c r="Z49" s="6">
        <f t="shared" si="5"/>
        <v>4849</v>
      </c>
    </row>
    <row r="50" spans="2:26">
      <c r="B50" s="4" t="s">
        <v>152</v>
      </c>
      <c r="C50" s="4" t="s">
        <v>153</v>
      </c>
      <c r="D50" s="4" t="s">
        <v>154</v>
      </c>
      <c r="E50" s="4" t="s">
        <v>25</v>
      </c>
      <c r="F50" s="5">
        <v>511</v>
      </c>
      <c r="G50" s="5">
        <v>50</v>
      </c>
      <c r="H50" s="5">
        <v>909</v>
      </c>
      <c r="I50" s="5">
        <v>803</v>
      </c>
      <c r="J50" s="5">
        <v>315</v>
      </c>
      <c r="K50" s="6"/>
      <c r="L50" s="5">
        <v>140</v>
      </c>
      <c r="M50" s="5">
        <v>17</v>
      </c>
      <c r="N50" s="5">
        <v>635</v>
      </c>
      <c r="O50" s="6"/>
      <c r="P50" s="6">
        <f t="shared" si="0"/>
        <v>1099</v>
      </c>
      <c r="Q50" s="6">
        <f t="shared" si="1"/>
        <v>0</v>
      </c>
      <c r="R50" s="6">
        <f t="shared" si="2"/>
        <v>0</v>
      </c>
      <c r="S50" s="6">
        <f t="shared" si="3"/>
        <v>0</v>
      </c>
      <c r="T50" s="6">
        <f t="shared" si="4"/>
        <v>3380</v>
      </c>
      <c r="U50" s="6"/>
      <c r="V50" s="6"/>
      <c r="W50" s="5"/>
      <c r="X50" s="5"/>
      <c r="Y50" s="5"/>
      <c r="Z50" s="6">
        <f t="shared" si="5"/>
        <v>3380</v>
      </c>
    </row>
    <row r="51" spans="2:26">
      <c r="B51" s="4" t="s">
        <v>155</v>
      </c>
      <c r="C51" s="4" t="s">
        <v>156</v>
      </c>
      <c r="D51" s="4" t="s">
        <v>157</v>
      </c>
      <c r="E51" s="4" t="s">
        <v>25</v>
      </c>
      <c r="F51" s="5">
        <v>565</v>
      </c>
      <c r="G51" s="5">
        <v>50</v>
      </c>
      <c r="H51" s="5">
        <v>909</v>
      </c>
      <c r="I51" s="5">
        <v>803</v>
      </c>
      <c r="J51" s="5">
        <v>315</v>
      </c>
      <c r="K51" s="5">
        <v>300</v>
      </c>
      <c r="L51" s="5">
        <v>140</v>
      </c>
      <c r="M51" s="5">
        <v>17</v>
      </c>
      <c r="N51" s="5">
        <v>635</v>
      </c>
      <c r="O51" s="6"/>
      <c r="P51" s="6">
        <f t="shared" si="0"/>
        <v>1099</v>
      </c>
      <c r="Q51" s="6">
        <f t="shared" si="1"/>
        <v>300</v>
      </c>
      <c r="R51" s="6">
        <f t="shared" si="2"/>
        <v>27</v>
      </c>
      <c r="S51" s="6">
        <f t="shared" si="3"/>
        <v>27</v>
      </c>
      <c r="T51" s="6">
        <f t="shared" si="4"/>
        <v>3788</v>
      </c>
      <c r="U51" s="6"/>
      <c r="V51" s="6"/>
      <c r="W51" s="5"/>
      <c r="X51" s="5"/>
      <c r="Y51" s="5"/>
      <c r="Z51" s="6">
        <f t="shared" si="5"/>
        <v>3788</v>
      </c>
    </row>
    <row r="52" spans="2:26">
      <c r="B52" s="4" t="s">
        <v>158</v>
      </c>
      <c r="C52" s="4" t="s">
        <v>159</v>
      </c>
      <c r="D52" s="4" t="s">
        <v>160</v>
      </c>
      <c r="E52" s="4" t="s">
        <v>25</v>
      </c>
      <c r="F52" s="5">
        <v>559</v>
      </c>
      <c r="G52" s="5">
        <v>50</v>
      </c>
      <c r="H52" s="5">
        <v>909</v>
      </c>
      <c r="I52" s="5">
        <v>803</v>
      </c>
      <c r="J52" s="5">
        <v>315</v>
      </c>
      <c r="K52" s="5">
        <v>700</v>
      </c>
      <c r="L52" s="5">
        <v>140</v>
      </c>
      <c r="M52" s="5">
        <v>17</v>
      </c>
      <c r="N52" s="5">
        <v>635</v>
      </c>
      <c r="O52" s="5">
        <v>101</v>
      </c>
      <c r="P52" s="6">
        <f t="shared" si="0"/>
        <v>1099</v>
      </c>
      <c r="Q52" s="6">
        <f t="shared" si="1"/>
        <v>801</v>
      </c>
      <c r="R52" s="6">
        <f t="shared" si="2"/>
        <v>72</v>
      </c>
      <c r="S52" s="6">
        <f t="shared" si="3"/>
        <v>72</v>
      </c>
      <c r="T52" s="6">
        <f t="shared" si="4"/>
        <v>4373</v>
      </c>
      <c r="U52" s="6"/>
      <c r="V52" s="6"/>
      <c r="W52" s="5"/>
      <c r="X52" s="5"/>
      <c r="Y52" s="5"/>
      <c r="Z52" s="6">
        <f t="shared" si="5"/>
        <v>4373</v>
      </c>
    </row>
    <row r="53" spans="2:26">
      <c r="B53" s="4" t="s">
        <v>161</v>
      </c>
      <c r="C53" s="4" t="s">
        <v>162</v>
      </c>
      <c r="D53" s="4" t="s">
        <v>163</v>
      </c>
      <c r="E53" s="4" t="s">
        <v>25</v>
      </c>
      <c r="F53" s="5">
        <v>764</v>
      </c>
      <c r="G53" s="5">
        <v>65</v>
      </c>
      <c r="H53" s="5">
        <v>929</v>
      </c>
      <c r="I53" s="5">
        <v>930</v>
      </c>
      <c r="J53" s="5">
        <v>315</v>
      </c>
      <c r="K53" s="5">
        <v>700</v>
      </c>
      <c r="L53" s="5">
        <v>190</v>
      </c>
      <c r="M53" s="5">
        <v>17</v>
      </c>
      <c r="N53" s="5">
        <v>635</v>
      </c>
      <c r="O53" s="5">
        <v>103</v>
      </c>
      <c r="P53" s="6">
        <f t="shared" si="0"/>
        <v>1184</v>
      </c>
      <c r="Q53" s="6">
        <f t="shared" si="1"/>
        <v>803</v>
      </c>
      <c r="R53" s="6">
        <f t="shared" si="2"/>
        <v>72</v>
      </c>
      <c r="S53" s="6">
        <f t="shared" si="3"/>
        <v>72</v>
      </c>
      <c r="T53" s="6">
        <f t="shared" si="4"/>
        <v>4792</v>
      </c>
      <c r="U53" s="5">
        <v>-34</v>
      </c>
      <c r="V53" s="6"/>
      <c r="W53" s="5"/>
      <c r="X53" s="5"/>
      <c r="Y53" s="5"/>
      <c r="Z53" s="6">
        <f t="shared" si="5"/>
        <v>4758</v>
      </c>
    </row>
    <row r="54" spans="2:26">
      <c r="B54" s="4" t="s">
        <v>164</v>
      </c>
      <c r="C54" s="4" t="s">
        <v>165</v>
      </c>
      <c r="D54" s="4" t="s">
        <v>166</v>
      </c>
      <c r="E54" s="4" t="s">
        <v>25</v>
      </c>
      <c r="F54" s="5">
        <v>511</v>
      </c>
      <c r="G54" s="5">
        <v>50</v>
      </c>
      <c r="H54" s="5">
        <v>909</v>
      </c>
      <c r="I54" s="5">
        <v>803</v>
      </c>
      <c r="J54" s="5">
        <v>315</v>
      </c>
      <c r="K54" s="5">
        <v>200</v>
      </c>
      <c r="L54" s="5">
        <v>140</v>
      </c>
      <c r="M54" s="5">
        <v>17</v>
      </c>
      <c r="N54" s="5">
        <v>635</v>
      </c>
      <c r="O54" s="6"/>
      <c r="P54" s="6">
        <f t="shared" si="0"/>
        <v>1099</v>
      </c>
      <c r="Q54" s="6">
        <f t="shared" si="1"/>
        <v>200</v>
      </c>
      <c r="R54" s="6">
        <f t="shared" si="2"/>
        <v>18</v>
      </c>
      <c r="S54" s="6">
        <f t="shared" si="3"/>
        <v>18</v>
      </c>
      <c r="T54" s="6">
        <f t="shared" si="4"/>
        <v>3616</v>
      </c>
      <c r="U54" s="6"/>
      <c r="V54" s="6"/>
      <c r="W54" s="5"/>
      <c r="X54" s="5"/>
      <c r="Y54" s="5"/>
      <c r="Z54" s="6">
        <f t="shared" si="5"/>
        <v>3616</v>
      </c>
    </row>
    <row r="55" spans="2:26">
      <c r="B55" s="4" t="s">
        <v>167</v>
      </c>
      <c r="C55" s="4" t="s">
        <v>168</v>
      </c>
      <c r="D55" s="4" t="s">
        <v>169</v>
      </c>
      <c r="E55" s="4" t="s">
        <v>25</v>
      </c>
      <c r="F55" s="5">
        <v>593</v>
      </c>
      <c r="G55" s="5">
        <v>50</v>
      </c>
      <c r="H55" s="5">
        <v>909</v>
      </c>
      <c r="I55" s="5">
        <v>803</v>
      </c>
      <c r="J55" s="5">
        <v>315</v>
      </c>
      <c r="K55" s="6"/>
      <c r="L55" s="5">
        <v>140</v>
      </c>
      <c r="M55" s="5">
        <v>17</v>
      </c>
      <c r="N55" s="5">
        <v>635</v>
      </c>
      <c r="O55" s="6"/>
      <c r="P55" s="6">
        <f t="shared" si="0"/>
        <v>1099</v>
      </c>
      <c r="Q55" s="6">
        <f t="shared" si="1"/>
        <v>0</v>
      </c>
      <c r="R55" s="6">
        <f t="shared" si="2"/>
        <v>0</v>
      </c>
      <c r="S55" s="6">
        <f t="shared" si="3"/>
        <v>0</v>
      </c>
      <c r="T55" s="6">
        <f t="shared" si="4"/>
        <v>3462</v>
      </c>
      <c r="U55" s="5">
        <v>-2921</v>
      </c>
      <c r="V55" s="6"/>
      <c r="W55" s="5"/>
      <c r="X55" s="5"/>
      <c r="Y55" s="5"/>
      <c r="Z55" s="6">
        <f t="shared" si="5"/>
        <v>541</v>
      </c>
    </row>
    <row r="56" spans="2:26">
      <c r="B56" s="4" t="s">
        <v>170</v>
      </c>
      <c r="C56" s="4" t="s">
        <v>171</v>
      </c>
      <c r="D56" s="4" t="s">
        <v>172</v>
      </c>
      <c r="E56" s="4" t="s">
        <v>25</v>
      </c>
      <c r="F56" s="5">
        <v>587</v>
      </c>
      <c r="G56" s="5">
        <v>50</v>
      </c>
      <c r="H56" s="5">
        <v>909</v>
      </c>
      <c r="I56" s="5">
        <v>803</v>
      </c>
      <c r="J56" s="5">
        <v>315</v>
      </c>
      <c r="K56" s="5">
        <v>100</v>
      </c>
      <c r="L56" s="5">
        <v>140</v>
      </c>
      <c r="M56" s="5">
        <v>17</v>
      </c>
      <c r="N56" s="5">
        <v>635</v>
      </c>
      <c r="O56" s="6"/>
      <c r="P56" s="6">
        <f t="shared" si="0"/>
        <v>1099</v>
      </c>
      <c r="Q56" s="6">
        <f t="shared" si="1"/>
        <v>100</v>
      </c>
      <c r="R56" s="6">
        <f t="shared" si="2"/>
        <v>9</v>
      </c>
      <c r="S56" s="6">
        <f t="shared" si="3"/>
        <v>9</v>
      </c>
      <c r="T56" s="6">
        <f t="shared" si="4"/>
        <v>3574</v>
      </c>
      <c r="U56" s="6"/>
      <c r="V56" s="6"/>
      <c r="W56" s="5"/>
      <c r="X56" s="5"/>
      <c r="Y56" s="5"/>
      <c r="Z56" s="6">
        <f t="shared" si="5"/>
        <v>3574</v>
      </c>
    </row>
    <row r="57" spans="2:26">
      <c r="B57" s="4" t="s">
        <v>173</v>
      </c>
      <c r="C57" s="4" t="s">
        <v>174</v>
      </c>
      <c r="D57" s="4" t="s">
        <v>175</v>
      </c>
      <c r="E57" s="4" t="s">
        <v>25</v>
      </c>
      <c r="F57" s="5">
        <v>801</v>
      </c>
      <c r="G57" s="5">
        <v>65</v>
      </c>
      <c r="H57" s="5">
        <v>929</v>
      </c>
      <c r="I57" s="5">
        <v>930</v>
      </c>
      <c r="J57" s="5">
        <v>315</v>
      </c>
      <c r="K57" s="6"/>
      <c r="L57" s="5">
        <v>190</v>
      </c>
      <c r="M57" s="5">
        <v>17</v>
      </c>
      <c r="N57" s="5">
        <v>635</v>
      </c>
      <c r="O57" s="6"/>
      <c r="P57" s="6">
        <f t="shared" si="0"/>
        <v>1184</v>
      </c>
      <c r="Q57" s="6">
        <f t="shared" si="1"/>
        <v>0</v>
      </c>
      <c r="R57" s="6">
        <f t="shared" si="2"/>
        <v>0</v>
      </c>
      <c r="S57" s="6">
        <f t="shared" si="3"/>
        <v>0</v>
      </c>
      <c r="T57" s="6">
        <f t="shared" si="4"/>
        <v>3882</v>
      </c>
      <c r="U57" s="6"/>
      <c r="V57" s="6"/>
      <c r="W57" s="5"/>
      <c r="X57" s="5"/>
      <c r="Y57" s="5"/>
      <c r="Z57" s="6">
        <f t="shared" si="5"/>
        <v>3882</v>
      </c>
    </row>
    <row r="58" spans="2:26">
      <c r="B58" s="4" t="s">
        <v>176</v>
      </c>
      <c r="C58" s="4" t="s">
        <v>177</v>
      </c>
      <c r="D58" s="4" t="s">
        <v>178</v>
      </c>
      <c r="E58" s="4" t="s">
        <v>25</v>
      </c>
      <c r="F58" s="5">
        <v>535</v>
      </c>
      <c r="G58" s="5">
        <v>50</v>
      </c>
      <c r="H58" s="5">
        <v>909</v>
      </c>
      <c r="I58" s="5">
        <v>803</v>
      </c>
      <c r="J58" s="5">
        <v>315</v>
      </c>
      <c r="K58" s="6"/>
      <c r="L58" s="5">
        <v>140</v>
      </c>
      <c r="M58" s="5">
        <v>17</v>
      </c>
      <c r="N58" s="5">
        <v>635</v>
      </c>
      <c r="O58" s="6"/>
      <c r="P58" s="6">
        <f t="shared" si="0"/>
        <v>1099</v>
      </c>
      <c r="Q58" s="6">
        <f t="shared" si="1"/>
        <v>0</v>
      </c>
      <c r="R58" s="6">
        <f t="shared" si="2"/>
        <v>0</v>
      </c>
      <c r="S58" s="6">
        <f t="shared" si="3"/>
        <v>0</v>
      </c>
      <c r="T58" s="6">
        <f t="shared" si="4"/>
        <v>3404</v>
      </c>
      <c r="U58" s="6"/>
      <c r="V58" s="6"/>
      <c r="W58" s="5"/>
      <c r="X58" s="5"/>
      <c r="Y58" s="5"/>
      <c r="Z58" s="6">
        <f t="shared" si="5"/>
        <v>3404</v>
      </c>
    </row>
    <row r="59" spans="2:26">
      <c r="B59" s="4" t="s">
        <v>179</v>
      </c>
      <c r="C59" s="4" t="s">
        <v>180</v>
      </c>
      <c r="D59" s="4" t="s">
        <v>181</v>
      </c>
      <c r="E59" s="4" t="s">
        <v>25</v>
      </c>
      <c r="F59" s="5">
        <v>593</v>
      </c>
      <c r="G59" s="5">
        <v>50</v>
      </c>
      <c r="H59" s="5">
        <v>909</v>
      </c>
      <c r="I59" s="5">
        <v>803</v>
      </c>
      <c r="J59" s="5">
        <v>315</v>
      </c>
      <c r="K59" s="5">
        <v>100</v>
      </c>
      <c r="L59" s="5">
        <v>140</v>
      </c>
      <c r="M59" s="5">
        <v>17</v>
      </c>
      <c r="N59" s="5">
        <v>635</v>
      </c>
      <c r="O59" s="6"/>
      <c r="P59" s="6">
        <f t="shared" si="0"/>
        <v>1099</v>
      </c>
      <c r="Q59" s="6">
        <f t="shared" si="1"/>
        <v>100</v>
      </c>
      <c r="R59" s="6">
        <f t="shared" si="2"/>
        <v>9</v>
      </c>
      <c r="S59" s="6">
        <f t="shared" si="3"/>
        <v>9</v>
      </c>
      <c r="T59" s="6">
        <f t="shared" si="4"/>
        <v>3580</v>
      </c>
      <c r="U59" s="6"/>
      <c r="V59" s="6"/>
      <c r="W59" s="5"/>
      <c r="X59" s="5"/>
      <c r="Y59" s="5"/>
      <c r="Z59" s="6">
        <f t="shared" si="5"/>
        <v>3580</v>
      </c>
    </row>
    <row r="60" spans="2:26">
      <c r="B60" s="4" t="s">
        <v>182</v>
      </c>
      <c r="C60" s="4" t="s">
        <v>183</v>
      </c>
      <c r="D60" s="4" t="s">
        <v>184</v>
      </c>
      <c r="E60" s="4" t="s">
        <v>25</v>
      </c>
      <c r="F60" s="5">
        <v>587</v>
      </c>
      <c r="G60" s="5">
        <v>50</v>
      </c>
      <c r="H60" s="5">
        <v>909</v>
      </c>
      <c r="I60" s="5">
        <v>803</v>
      </c>
      <c r="J60" s="5">
        <v>315</v>
      </c>
      <c r="K60" s="5">
        <v>100</v>
      </c>
      <c r="L60" s="5">
        <v>140</v>
      </c>
      <c r="M60" s="5">
        <v>17</v>
      </c>
      <c r="N60" s="5">
        <v>635</v>
      </c>
      <c r="O60" s="6"/>
      <c r="P60" s="6">
        <f t="shared" si="0"/>
        <v>1099</v>
      </c>
      <c r="Q60" s="6">
        <f t="shared" si="1"/>
        <v>100</v>
      </c>
      <c r="R60" s="6">
        <f t="shared" si="2"/>
        <v>9</v>
      </c>
      <c r="S60" s="6">
        <f t="shared" si="3"/>
        <v>9</v>
      </c>
      <c r="T60" s="6">
        <f t="shared" si="4"/>
        <v>3574</v>
      </c>
      <c r="U60" s="6"/>
      <c r="V60" s="6"/>
      <c r="W60" s="5"/>
      <c r="X60" s="5"/>
      <c r="Y60" s="5"/>
      <c r="Z60" s="6">
        <f t="shared" si="5"/>
        <v>3574</v>
      </c>
    </row>
    <row r="61" spans="2:26">
      <c r="B61" s="4" t="s">
        <v>185</v>
      </c>
      <c r="C61" s="4" t="s">
        <v>186</v>
      </c>
      <c r="D61" s="4" t="s">
        <v>187</v>
      </c>
      <c r="E61" s="4" t="s">
        <v>25</v>
      </c>
      <c r="F61" s="5">
        <v>801</v>
      </c>
      <c r="G61" s="5">
        <v>65</v>
      </c>
      <c r="H61" s="5">
        <v>929</v>
      </c>
      <c r="I61" s="5">
        <v>930</v>
      </c>
      <c r="J61" s="5">
        <v>315</v>
      </c>
      <c r="K61" s="5">
        <v>200</v>
      </c>
      <c r="L61" s="5">
        <v>190</v>
      </c>
      <c r="M61" s="5">
        <v>17</v>
      </c>
      <c r="N61" s="5">
        <v>635</v>
      </c>
      <c r="O61" s="6"/>
      <c r="P61" s="6">
        <f t="shared" si="0"/>
        <v>1184</v>
      </c>
      <c r="Q61" s="6">
        <f t="shared" si="1"/>
        <v>200</v>
      </c>
      <c r="R61" s="6">
        <f t="shared" si="2"/>
        <v>18</v>
      </c>
      <c r="S61" s="6">
        <f t="shared" si="3"/>
        <v>18</v>
      </c>
      <c r="T61" s="6">
        <f t="shared" si="4"/>
        <v>4118</v>
      </c>
      <c r="U61" s="6"/>
      <c r="V61" s="6"/>
      <c r="W61" s="5"/>
      <c r="X61" s="5"/>
      <c r="Y61" s="5"/>
      <c r="Z61" s="6">
        <f t="shared" si="5"/>
        <v>4118</v>
      </c>
    </row>
    <row r="62" spans="2:26">
      <c r="B62" s="4" t="s">
        <v>188</v>
      </c>
      <c r="C62" s="4" t="s">
        <v>189</v>
      </c>
      <c r="D62" s="4" t="s">
        <v>190</v>
      </c>
      <c r="E62" s="4" t="s">
        <v>25</v>
      </c>
      <c r="F62" s="5">
        <v>535</v>
      </c>
      <c r="G62" s="5">
        <v>50</v>
      </c>
      <c r="H62" s="5">
        <v>909</v>
      </c>
      <c r="I62" s="5">
        <v>803</v>
      </c>
      <c r="J62" s="5">
        <v>315</v>
      </c>
      <c r="K62" s="5">
        <v>250</v>
      </c>
      <c r="L62" s="5">
        <v>140</v>
      </c>
      <c r="M62" s="5">
        <v>17</v>
      </c>
      <c r="N62" s="5">
        <v>635</v>
      </c>
      <c r="O62" s="6"/>
      <c r="P62" s="6">
        <f t="shared" si="0"/>
        <v>1099</v>
      </c>
      <c r="Q62" s="6">
        <f t="shared" si="1"/>
        <v>250</v>
      </c>
      <c r="R62" s="6">
        <f t="shared" si="2"/>
        <v>23</v>
      </c>
      <c r="S62" s="6">
        <f t="shared" si="3"/>
        <v>23</v>
      </c>
      <c r="T62" s="6">
        <f t="shared" si="4"/>
        <v>3700</v>
      </c>
      <c r="U62" s="5">
        <v>3059</v>
      </c>
      <c r="V62" s="6"/>
      <c r="W62" s="5">
        <f t="shared" si="6"/>
        <v>55</v>
      </c>
      <c r="X62" s="5">
        <f>ROUND(W62*9/100,0)</f>
        <v>5</v>
      </c>
      <c r="Y62" s="5">
        <f>X62</f>
        <v>5</v>
      </c>
      <c r="Z62" s="6">
        <f t="shared" si="5"/>
        <v>6824</v>
      </c>
    </row>
    <row r="63" spans="2:26">
      <c r="B63" s="4" t="s">
        <v>191</v>
      </c>
      <c r="C63" s="4" t="s">
        <v>192</v>
      </c>
      <c r="D63" s="4" t="s">
        <v>193</v>
      </c>
      <c r="E63" s="4" t="s">
        <v>25</v>
      </c>
      <c r="F63" s="5">
        <v>593</v>
      </c>
      <c r="G63" s="5">
        <v>50</v>
      </c>
      <c r="H63" s="5">
        <v>909</v>
      </c>
      <c r="I63" s="5">
        <v>803</v>
      </c>
      <c r="J63" s="5">
        <v>315</v>
      </c>
      <c r="K63" s="6"/>
      <c r="L63" s="5">
        <v>140</v>
      </c>
      <c r="M63" s="5">
        <v>17</v>
      </c>
      <c r="N63" s="5">
        <v>635</v>
      </c>
      <c r="O63" s="6"/>
      <c r="P63" s="6">
        <f t="shared" si="0"/>
        <v>1099</v>
      </c>
      <c r="Q63" s="6">
        <f t="shared" si="1"/>
        <v>0</v>
      </c>
      <c r="R63" s="6">
        <f t="shared" si="2"/>
        <v>0</v>
      </c>
      <c r="S63" s="6">
        <f t="shared" si="3"/>
        <v>0</v>
      </c>
      <c r="T63" s="6">
        <f t="shared" si="4"/>
        <v>3462</v>
      </c>
      <c r="U63" s="6"/>
      <c r="V63" s="6"/>
      <c r="W63" s="5"/>
      <c r="X63" s="5"/>
      <c r="Y63" s="5"/>
      <c r="Z63" s="6">
        <f t="shared" si="5"/>
        <v>3462</v>
      </c>
    </row>
    <row r="64" spans="2:26">
      <c r="B64" s="4" t="s">
        <v>194</v>
      </c>
      <c r="C64" s="4" t="s">
        <v>195</v>
      </c>
      <c r="D64" s="4" t="s">
        <v>196</v>
      </c>
      <c r="E64" s="4" t="s">
        <v>25</v>
      </c>
      <c r="F64" s="5">
        <v>587</v>
      </c>
      <c r="G64" s="5">
        <v>50</v>
      </c>
      <c r="H64" s="5">
        <v>909</v>
      </c>
      <c r="I64" s="5">
        <v>803</v>
      </c>
      <c r="J64" s="5">
        <v>315</v>
      </c>
      <c r="K64" s="5">
        <v>200</v>
      </c>
      <c r="L64" s="5">
        <v>140</v>
      </c>
      <c r="M64" s="5">
        <v>17</v>
      </c>
      <c r="N64" s="5">
        <v>635</v>
      </c>
      <c r="O64" s="5">
        <v>101</v>
      </c>
      <c r="P64" s="6">
        <f t="shared" si="0"/>
        <v>1099</v>
      </c>
      <c r="Q64" s="6">
        <f t="shared" si="1"/>
        <v>301</v>
      </c>
      <c r="R64" s="6">
        <f t="shared" si="2"/>
        <v>27</v>
      </c>
      <c r="S64" s="6">
        <f t="shared" si="3"/>
        <v>27</v>
      </c>
      <c r="T64" s="6">
        <f t="shared" si="4"/>
        <v>3811</v>
      </c>
      <c r="U64" s="5">
        <v>-2894</v>
      </c>
      <c r="V64" s="6"/>
      <c r="W64" s="5"/>
      <c r="X64" s="5"/>
      <c r="Y64" s="5"/>
      <c r="Z64" s="6">
        <f t="shared" si="5"/>
        <v>917</v>
      </c>
    </row>
    <row r="65" spans="2:26">
      <c r="B65" s="4" t="s">
        <v>197</v>
      </c>
      <c r="C65" s="4" t="s">
        <v>198</v>
      </c>
      <c r="D65" s="4" t="s">
        <v>199</v>
      </c>
      <c r="E65" s="4" t="s">
        <v>25</v>
      </c>
      <c r="F65" s="5">
        <v>801</v>
      </c>
      <c r="G65" s="5">
        <v>65</v>
      </c>
      <c r="H65" s="5">
        <v>929</v>
      </c>
      <c r="I65" s="5">
        <v>930</v>
      </c>
      <c r="J65" s="5">
        <v>315</v>
      </c>
      <c r="K65" s="5">
        <v>300</v>
      </c>
      <c r="L65" s="5">
        <v>190</v>
      </c>
      <c r="M65" s="5">
        <v>17</v>
      </c>
      <c r="N65" s="5">
        <v>635</v>
      </c>
      <c r="O65" s="6"/>
      <c r="P65" s="6">
        <f t="shared" si="0"/>
        <v>1184</v>
      </c>
      <c r="Q65" s="6">
        <f t="shared" si="1"/>
        <v>300</v>
      </c>
      <c r="R65" s="6">
        <f t="shared" si="2"/>
        <v>27</v>
      </c>
      <c r="S65" s="6">
        <f t="shared" si="3"/>
        <v>27</v>
      </c>
      <c r="T65" s="6">
        <f t="shared" si="4"/>
        <v>4236</v>
      </c>
      <c r="U65" s="6"/>
      <c r="V65" s="6"/>
      <c r="W65" s="5"/>
      <c r="X65" s="5"/>
      <c r="Y65" s="5"/>
      <c r="Z65" s="6">
        <f t="shared" si="5"/>
        <v>4236</v>
      </c>
    </row>
    <row r="66" spans="2:26">
      <c r="B66" s="4" t="s">
        <v>200</v>
      </c>
      <c r="C66" s="4" t="s">
        <v>201</v>
      </c>
      <c r="D66" s="4" t="s">
        <v>202</v>
      </c>
      <c r="E66" s="4" t="s">
        <v>25</v>
      </c>
      <c r="F66" s="5">
        <v>535</v>
      </c>
      <c r="G66" s="5">
        <v>50</v>
      </c>
      <c r="H66" s="5">
        <v>909</v>
      </c>
      <c r="I66" s="5">
        <v>803</v>
      </c>
      <c r="J66" s="5">
        <v>315</v>
      </c>
      <c r="K66" s="5">
        <v>800</v>
      </c>
      <c r="L66" s="5">
        <v>140</v>
      </c>
      <c r="M66" s="5">
        <v>17</v>
      </c>
      <c r="N66" s="5">
        <v>635</v>
      </c>
      <c r="O66" s="6"/>
      <c r="P66" s="6">
        <f t="shared" si="0"/>
        <v>1099</v>
      </c>
      <c r="Q66" s="6">
        <f t="shared" si="1"/>
        <v>800</v>
      </c>
      <c r="R66" s="6">
        <f t="shared" si="2"/>
        <v>72</v>
      </c>
      <c r="S66" s="6">
        <f t="shared" si="3"/>
        <v>72</v>
      </c>
      <c r="T66" s="6">
        <f t="shared" si="4"/>
        <v>4348</v>
      </c>
      <c r="U66" s="5">
        <v>11199</v>
      </c>
      <c r="V66" s="5">
        <v>141</v>
      </c>
      <c r="W66" s="5">
        <f t="shared" si="6"/>
        <v>200</v>
      </c>
      <c r="X66" s="5">
        <f>ROUND(W66*9/100,0)</f>
        <v>18</v>
      </c>
      <c r="Y66" s="5">
        <f>X66</f>
        <v>18</v>
      </c>
      <c r="Z66" s="6">
        <f t="shared" si="5"/>
        <v>15924</v>
      </c>
    </row>
    <row r="67" spans="2:26">
      <c r="B67" s="4" t="s">
        <v>203</v>
      </c>
      <c r="C67" s="4" t="s">
        <v>204</v>
      </c>
      <c r="D67" s="4" t="s">
        <v>205</v>
      </c>
      <c r="E67" s="4" t="s">
        <v>25</v>
      </c>
      <c r="F67" s="5">
        <v>593</v>
      </c>
      <c r="G67" s="5">
        <v>50</v>
      </c>
      <c r="H67" s="5">
        <v>909</v>
      </c>
      <c r="I67" s="5">
        <v>803</v>
      </c>
      <c r="J67" s="5">
        <v>315</v>
      </c>
      <c r="K67" s="6"/>
      <c r="L67" s="5">
        <v>140</v>
      </c>
      <c r="M67" s="5">
        <v>17</v>
      </c>
      <c r="N67" s="5">
        <v>635</v>
      </c>
      <c r="O67" s="6"/>
      <c r="P67" s="6">
        <f t="shared" si="0"/>
        <v>1099</v>
      </c>
      <c r="Q67" s="6">
        <f t="shared" si="1"/>
        <v>0</v>
      </c>
      <c r="R67" s="6">
        <f t="shared" si="2"/>
        <v>0</v>
      </c>
      <c r="S67" s="6">
        <f t="shared" si="3"/>
        <v>0</v>
      </c>
      <c r="T67" s="6">
        <f t="shared" si="4"/>
        <v>3462</v>
      </c>
      <c r="U67" s="6"/>
      <c r="V67" s="6"/>
      <c r="W67" s="5"/>
      <c r="X67" s="5"/>
      <c r="Y67" s="5"/>
      <c r="Z67" s="6">
        <f t="shared" si="5"/>
        <v>3462</v>
      </c>
    </row>
    <row r="68" spans="2:26">
      <c r="B68" s="4" t="s">
        <v>206</v>
      </c>
      <c r="C68" s="4" t="s">
        <v>207</v>
      </c>
      <c r="D68" s="4" t="s">
        <v>208</v>
      </c>
      <c r="E68" s="4" t="s">
        <v>25</v>
      </c>
      <c r="F68" s="5">
        <v>587</v>
      </c>
      <c r="G68" s="5">
        <v>50</v>
      </c>
      <c r="H68" s="5">
        <v>909</v>
      </c>
      <c r="I68" s="5">
        <v>803</v>
      </c>
      <c r="J68" s="5">
        <v>315</v>
      </c>
      <c r="K68" s="6"/>
      <c r="L68" s="5">
        <v>140</v>
      </c>
      <c r="M68" s="5">
        <v>17</v>
      </c>
      <c r="N68" s="5">
        <v>635</v>
      </c>
      <c r="O68" s="6"/>
      <c r="P68" s="6">
        <f t="shared" si="0"/>
        <v>1099</v>
      </c>
      <c r="Q68" s="6">
        <f t="shared" si="1"/>
        <v>0</v>
      </c>
      <c r="R68" s="6">
        <f t="shared" si="2"/>
        <v>0</v>
      </c>
      <c r="S68" s="6">
        <f t="shared" si="3"/>
        <v>0</v>
      </c>
      <c r="T68" s="6">
        <f t="shared" si="4"/>
        <v>3456</v>
      </c>
      <c r="U68" s="6"/>
      <c r="V68" s="6"/>
      <c r="W68" s="5"/>
      <c r="X68" s="5"/>
      <c r="Y68" s="5"/>
      <c r="Z68" s="6">
        <f t="shared" si="5"/>
        <v>3456</v>
      </c>
    </row>
    <row r="69" spans="2:26">
      <c r="B69" s="4" t="s">
        <v>209</v>
      </c>
      <c r="C69" s="4" t="s">
        <v>210</v>
      </c>
      <c r="D69" s="4" t="s">
        <v>211</v>
      </c>
      <c r="E69" s="4" t="s">
        <v>25</v>
      </c>
      <c r="F69" s="5">
        <v>801</v>
      </c>
      <c r="G69" s="5">
        <v>65</v>
      </c>
      <c r="H69" s="5">
        <v>929</v>
      </c>
      <c r="I69" s="5">
        <v>930</v>
      </c>
      <c r="J69" s="5">
        <v>315</v>
      </c>
      <c r="K69" s="5">
        <v>100</v>
      </c>
      <c r="L69" s="5">
        <v>190</v>
      </c>
      <c r="M69" s="5">
        <v>17</v>
      </c>
      <c r="N69" s="5">
        <v>635</v>
      </c>
      <c r="O69" s="6"/>
      <c r="P69" s="6">
        <f t="shared" si="0"/>
        <v>1184</v>
      </c>
      <c r="Q69" s="6">
        <f t="shared" si="1"/>
        <v>100</v>
      </c>
      <c r="R69" s="6">
        <f t="shared" si="2"/>
        <v>9</v>
      </c>
      <c r="S69" s="6">
        <f t="shared" si="3"/>
        <v>9</v>
      </c>
      <c r="T69" s="6">
        <f t="shared" si="4"/>
        <v>4000</v>
      </c>
      <c r="U69" s="6"/>
      <c r="V69" s="6"/>
      <c r="W69" s="5"/>
      <c r="X69" s="5"/>
      <c r="Y69" s="5"/>
      <c r="Z69" s="6">
        <f t="shared" si="5"/>
        <v>4000</v>
      </c>
    </row>
    <row r="70" spans="2:26">
      <c r="B70" s="4" t="s">
        <v>212</v>
      </c>
      <c r="C70" s="4" t="s">
        <v>213</v>
      </c>
      <c r="D70" s="4" t="s">
        <v>214</v>
      </c>
      <c r="E70" s="4" t="s">
        <v>25</v>
      </c>
      <c r="F70" s="5">
        <v>535</v>
      </c>
      <c r="G70" s="5">
        <v>50</v>
      </c>
      <c r="H70" s="5">
        <v>909</v>
      </c>
      <c r="I70" s="5">
        <v>803</v>
      </c>
      <c r="J70" s="5">
        <v>315</v>
      </c>
      <c r="K70" s="6"/>
      <c r="L70" s="5">
        <v>140</v>
      </c>
      <c r="M70" s="5">
        <v>17</v>
      </c>
      <c r="N70" s="5">
        <v>635</v>
      </c>
      <c r="O70" s="6"/>
      <c r="P70" s="6">
        <f t="shared" si="0"/>
        <v>1099</v>
      </c>
      <c r="Q70" s="6">
        <f t="shared" si="1"/>
        <v>0</v>
      </c>
      <c r="R70" s="6">
        <f t="shared" si="2"/>
        <v>0</v>
      </c>
      <c r="S70" s="6">
        <f t="shared" si="3"/>
        <v>0</v>
      </c>
      <c r="T70" s="6">
        <f t="shared" si="4"/>
        <v>3404</v>
      </c>
      <c r="U70" s="5">
        <v>2543</v>
      </c>
      <c r="V70" s="6"/>
      <c r="W70" s="5">
        <f t="shared" si="6"/>
        <v>45</v>
      </c>
      <c r="X70" s="5">
        <f>ROUND(W70*9/100,0)</f>
        <v>4</v>
      </c>
      <c r="Y70" s="5">
        <f>X70</f>
        <v>4</v>
      </c>
      <c r="Z70" s="6">
        <f t="shared" si="5"/>
        <v>6000</v>
      </c>
    </row>
    <row r="71" spans="2:26">
      <c r="B71" s="4" t="s">
        <v>215</v>
      </c>
      <c r="C71" s="4" t="s">
        <v>216</v>
      </c>
      <c r="D71" s="4" t="s">
        <v>217</v>
      </c>
      <c r="E71" s="4" t="s">
        <v>25</v>
      </c>
      <c r="F71" s="5">
        <v>572</v>
      </c>
      <c r="G71" s="5">
        <v>50</v>
      </c>
      <c r="H71" s="5">
        <v>909</v>
      </c>
      <c r="I71" s="5">
        <v>803</v>
      </c>
      <c r="J71" s="5">
        <v>315</v>
      </c>
      <c r="K71" s="6"/>
      <c r="L71" s="5">
        <v>140</v>
      </c>
      <c r="M71" s="5">
        <v>17</v>
      </c>
      <c r="N71" s="5">
        <v>635</v>
      </c>
      <c r="O71" s="5">
        <v>101</v>
      </c>
      <c r="P71" s="6">
        <f t="shared" si="0"/>
        <v>1099</v>
      </c>
      <c r="Q71" s="6">
        <f t="shared" si="1"/>
        <v>101</v>
      </c>
      <c r="R71" s="6">
        <f t="shared" si="2"/>
        <v>9</v>
      </c>
      <c r="S71" s="6">
        <f t="shared" si="3"/>
        <v>9</v>
      </c>
      <c r="T71" s="6">
        <f t="shared" si="4"/>
        <v>3560</v>
      </c>
      <c r="U71" s="6"/>
      <c r="V71" s="6"/>
      <c r="W71" s="5"/>
      <c r="X71" s="5"/>
      <c r="Y71" s="5"/>
      <c r="Z71" s="6">
        <f t="shared" si="5"/>
        <v>3560</v>
      </c>
    </row>
    <row r="72" spans="2:26">
      <c r="B72" s="4" t="s">
        <v>218</v>
      </c>
      <c r="C72" s="4" t="s">
        <v>219</v>
      </c>
      <c r="D72" s="4" t="s">
        <v>220</v>
      </c>
      <c r="E72" s="4" t="s">
        <v>25</v>
      </c>
      <c r="F72" s="5">
        <v>567</v>
      </c>
      <c r="G72" s="5">
        <v>50</v>
      </c>
      <c r="H72" s="5">
        <v>909</v>
      </c>
      <c r="I72" s="5">
        <v>803</v>
      </c>
      <c r="J72" s="5">
        <v>315</v>
      </c>
      <c r="K72" s="5">
        <v>100</v>
      </c>
      <c r="L72" s="5">
        <v>140</v>
      </c>
      <c r="M72" s="5">
        <v>17</v>
      </c>
      <c r="N72" s="5">
        <v>635</v>
      </c>
      <c r="O72" s="6"/>
      <c r="P72" s="6">
        <f t="shared" ref="P72:P135" si="11">G72+H72+L72</f>
        <v>1099</v>
      </c>
      <c r="Q72" s="6">
        <f t="shared" ref="Q72:Q135" si="12">K72+O72</f>
        <v>100</v>
      </c>
      <c r="R72" s="6">
        <f t="shared" ref="R72:R135" si="13">ROUND(Q72*9/100,0)</f>
        <v>9</v>
      </c>
      <c r="S72" s="6">
        <f t="shared" ref="S72:S135" si="14">R72</f>
        <v>9</v>
      </c>
      <c r="T72" s="6">
        <f t="shared" ref="T72:T135" si="15">F72+G72+H72+I72+J72+K72+L72+M72+N72+O72+R72+S72</f>
        <v>3554</v>
      </c>
      <c r="U72" s="6"/>
      <c r="V72" s="6"/>
      <c r="W72" s="5"/>
      <c r="X72" s="5"/>
      <c r="Y72" s="5"/>
      <c r="Z72" s="6">
        <f t="shared" ref="Z72:Z135" si="16">T72+U72+V72+W72+X72+Y72</f>
        <v>3554</v>
      </c>
    </row>
    <row r="73" spans="2:26">
      <c r="B73" s="4" t="s">
        <v>221</v>
      </c>
      <c r="C73" s="4" t="s">
        <v>222</v>
      </c>
      <c r="D73" s="4" t="s">
        <v>223</v>
      </c>
      <c r="E73" s="4" t="s">
        <v>25</v>
      </c>
      <c r="F73" s="5">
        <v>564</v>
      </c>
      <c r="G73" s="5">
        <v>50</v>
      </c>
      <c r="H73" s="5">
        <v>909</v>
      </c>
      <c r="I73" s="5">
        <v>803</v>
      </c>
      <c r="J73" s="5">
        <v>315</v>
      </c>
      <c r="K73" s="5">
        <v>200</v>
      </c>
      <c r="L73" s="5">
        <v>140</v>
      </c>
      <c r="M73" s="5">
        <v>17</v>
      </c>
      <c r="N73" s="5">
        <v>635</v>
      </c>
      <c r="O73" s="5">
        <v>101</v>
      </c>
      <c r="P73" s="6">
        <f t="shared" si="11"/>
        <v>1099</v>
      </c>
      <c r="Q73" s="6">
        <f t="shared" si="12"/>
        <v>301</v>
      </c>
      <c r="R73" s="6">
        <f t="shared" si="13"/>
        <v>27</v>
      </c>
      <c r="S73" s="6">
        <f t="shared" si="14"/>
        <v>27</v>
      </c>
      <c r="T73" s="6">
        <f t="shared" si="15"/>
        <v>3788</v>
      </c>
      <c r="U73" s="5">
        <v>1020</v>
      </c>
      <c r="V73" s="6"/>
      <c r="W73" s="5">
        <f t="shared" si="6"/>
        <v>18</v>
      </c>
      <c r="X73" s="5">
        <f>ROUND(W73*9/100,0)</f>
        <v>2</v>
      </c>
      <c r="Y73" s="5">
        <f>X73</f>
        <v>2</v>
      </c>
      <c r="Z73" s="6">
        <f t="shared" si="16"/>
        <v>4830</v>
      </c>
    </row>
    <row r="74" spans="2:26">
      <c r="B74" s="4" t="s">
        <v>224</v>
      </c>
      <c r="C74" s="4" t="s">
        <v>225</v>
      </c>
      <c r="D74" s="4" t="s">
        <v>226</v>
      </c>
      <c r="E74" s="4" t="s">
        <v>25</v>
      </c>
      <c r="F74" s="5">
        <v>565</v>
      </c>
      <c r="G74" s="5">
        <v>50</v>
      </c>
      <c r="H74" s="5">
        <v>909</v>
      </c>
      <c r="I74" s="5">
        <v>803</v>
      </c>
      <c r="J74" s="5">
        <v>315</v>
      </c>
      <c r="K74" s="5">
        <v>350</v>
      </c>
      <c r="L74" s="5">
        <v>140</v>
      </c>
      <c r="M74" s="5">
        <v>17</v>
      </c>
      <c r="N74" s="5">
        <v>635</v>
      </c>
      <c r="O74" s="6"/>
      <c r="P74" s="6">
        <f t="shared" si="11"/>
        <v>1099</v>
      </c>
      <c r="Q74" s="6">
        <f t="shared" si="12"/>
        <v>350</v>
      </c>
      <c r="R74" s="6">
        <f t="shared" si="13"/>
        <v>32</v>
      </c>
      <c r="S74" s="6">
        <f t="shared" si="14"/>
        <v>32</v>
      </c>
      <c r="T74" s="6">
        <f t="shared" si="15"/>
        <v>3848</v>
      </c>
      <c r="U74" s="6"/>
      <c r="V74" s="6"/>
      <c r="W74" s="5"/>
      <c r="X74" s="5"/>
      <c r="Y74" s="5"/>
      <c r="Z74" s="6">
        <f t="shared" si="16"/>
        <v>3848</v>
      </c>
    </row>
    <row r="75" spans="2:26">
      <c r="B75" s="4" t="s">
        <v>227</v>
      </c>
      <c r="C75" s="4" t="s">
        <v>228</v>
      </c>
      <c r="D75" s="4" t="s">
        <v>229</v>
      </c>
      <c r="E75" s="4" t="s">
        <v>25</v>
      </c>
      <c r="F75" s="5">
        <v>572</v>
      </c>
      <c r="G75" s="5">
        <v>50</v>
      </c>
      <c r="H75" s="5">
        <v>909</v>
      </c>
      <c r="I75" s="5">
        <v>803</v>
      </c>
      <c r="J75" s="5">
        <v>315</v>
      </c>
      <c r="K75" s="5">
        <v>350</v>
      </c>
      <c r="L75" s="5">
        <v>140</v>
      </c>
      <c r="M75" s="5">
        <v>17</v>
      </c>
      <c r="N75" s="5">
        <v>635</v>
      </c>
      <c r="O75" s="6"/>
      <c r="P75" s="6">
        <f t="shared" si="11"/>
        <v>1099</v>
      </c>
      <c r="Q75" s="6">
        <f t="shared" si="12"/>
        <v>350</v>
      </c>
      <c r="R75" s="6">
        <f t="shared" si="13"/>
        <v>32</v>
      </c>
      <c r="S75" s="6">
        <f t="shared" si="14"/>
        <v>32</v>
      </c>
      <c r="T75" s="6">
        <f t="shared" si="15"/>
        <v>3855</v>
      </c>
      <c r="U75" s="6"/>
      <c r="V75" s="6"/>
      <c r="W75" s="5"/>
      <c r="X75" s="5"/>
      <c r="Y75" s="5"/>
      <c r="Z75" s="6">
        <f t="shared" si="16"/>
        <v>3855</v>
      </c>
    </row>
    <row r="76" spans="2:26">
      <c r="B76" s="4" t="s">
        <v>230</v>
      </c>
      <c r="C76" s="4" t="s">
        <v>231</v>
      </c>
      <c r="D76" s="4" t="s">
        <v>232</v>
      </c>
      <c r="E76" s="4" t="s">
        <v>25</v>
      </c>
      <c r="F76" s="5">
        <v>567</v>
      </c>
      <c r="G76" s="5">
        <v>50</v>
      </c>
      <c r="H76" s="5">
        <v>909</v>
      </c>
      <c r="I76" s="5">
        <v>803</v>
      </c>
      <c r="J76" s="5">
        <v>315</v>
      </c>
      <c r="K76" s="5">
        <v>100</v>
      </c>
      <c r="L76" s="5">
        <v>140</v>
      </c>
      <c r="M76" s="5">
        <v>17</v>
      </c>
      <c r="N76" s="5">
        <v>635</v>
      </c>
      <c r="O76" s="6"/>
      <c r="P76" s="6">
        <f t="shared" si="11"/>
        <v>1099</v>
      </c>
      <c r="Q76" s="6">
        <f t="shared" si="12"/>
        <v>100</v>
      </c>
      <c r="R76" s="6">
        <f t="shared" si="13"/>
        <v>9</v>
      </c>
      <c r="S76" s="6">
        <f t="shared" si="14"/>
        <v>9</v>
      </c>
      <c r="T76" s="6">
        <f t="shared" si="15"/>
        <v>3554</v>
      </c>
      <c r="U76" s="6"/>
      <c r="V76" s="6"/>
      <c r="W76" s="5"/>
      <c r="X76" s="5"/>
      <c r="Y76" s="5"/>
      <c r="Z76" s="6">
        <f t="shared" si="16"/>
        <v>3554</v>
      </c>
    </row>
    <row r="77" spans="2:26">
      <c r="B77" s="4" t="s">
        <v>233</v>
      </c>
      <c r="C77" s="4" t="s">
        <v>234</v>
      </c>
      <c r="D77" s="4" t="s">
        <v>235</v>
      </c>
      <c r="E77" s="4" t="s">
        <v>25</v>
      </c>
      <c r="F77" s="5">
        <v>564</v>
      </c>
      <c r="G77" s="5">
        <v>50</v>
      </c>
      <c r="H77" s="5">
        <v>909</v>
      </c>
      <c r="I77" s="5">
        <v>803</v>
      </c>
      <c r="J77" s="5">
        <v>315</v>
      </c>
      <c r="K77" s="5">
        <v>300</v>
      </c>
      <c r="L77" s="5">
        <v>140</v>
      </c>
      <c r="M77" s="5">
        <v>17</v>
      </c>
      <c r="N77" s="5">
        <v>635</v>
      </c>
      <c r="O77" s="6"/>
      <c r="P77" s="6">
        <f t="shared" si="11"/>
        <v>1099</v>
      </c>
      <c r="Q77" s="6">
        <f t="shared" si="12"/>
        <v>300</v>
      </c>
      <c r="R77" s="6">
        <f t="shared" si="13"/>
        <v>27</v>
      </c>
      <c r="S77" s="6">
        <f t="shared" si="14"/>
        <v>27</v>
      </c>
      <c r="T77" s="6">
        <f t="shared" si="15"/>
        <v>3787</v>
      </c>
      <c r="U77" s="5">
        <v>-3647</v>
      </c>
      <c r="V77" s="6"/>
      <c r="W77" s="5"/>
      <c r="X77" s="5"/>
      <c r="Y77" s="5"/>
      <c r="Z77" s="6">
        <f t="shared" si="16"/>
        <v>140</v>
      </c>
    </row>
    <row r="78" spans="2:26">
      <c r="B78" s="4" t="s">
        <v>236</v>
      </c>
      <c r="C78" s="4" t="s">
        <v>237</v>
      </c>
      <c r="D78" s="4" t="s">
        <v>238</v>
      </c>
      <c r="E78" s="4" t="s">
        <v>25</v>
      </c>
      <c r="F78" s="5">
        <v>565</v>
      </c>
      <c r="G78" s="5">
        <v>50</v>
      </c>
      <c r="H78" s="5">
        <v>909</v>
      </c>
      <c r="I78" s="5">
        <v>803</v>
      </c>
      <c r="J78" s="5">
        <v>315</v>
      </c>
      <c r="K78" s="5">
        <v>100</v>
      </c>
      <c r="L78" s="5">
        <v>140</v>
      </c>
      <c r="M78" s="5">
        <v>17</v>
      </c>
      <c r="N78" s="5">
        <v>635</v>
      </c>
      <c r="O78" s="6"/>
      <c r="P78" s="6">
        <f t="shared" si="11"/>
        <v>1099</v>
      </c>
      <c r="Q78" s="6">
        <f t="shared" si="12"/>
        <v>100</v>
      </c>
      <c r="R78" s="6">
        <f t="shared" si="13"/>
        <v>9</v>
      </c>
      <c r="S78" s="6">
        <f t="shared" si="14"/>
        <v>9</v>
      </c>
      <c r="T78" s="6">
        <f t="shared" si="15"/>
        <v>3552</v>
      </c>
      <c r="U78" s="6"/>
      <c r="V78" s="6"/>
      <c r="W78" s="5"/>
      <c r="X78" s="5"/>
      <c r="Y78" s="5"/>
      <c r="Z78" s="6">
        <f t="shared" si="16"/>
        <v>3552</v>
      </c>
    </row>
    <row r="79" spans="2:26">
      <c r="B79" s="4" t="s">
        <v>239</v>
      </c>
      <c r="C79" s="4" t="s">
        <v>240</v>
      </c>
      <c r="D79" s="4" t="s">
        <v>241</v>
      </c>
      <c r="E79" s="4" t="s">
        <v>25</v>
      </c>
      <c r="F79" s="5">
        <v>572</v>
      </c>
      <c r="G79" s="5">
        <v>50</v>
      </c>
      <c r="H79" s="5">
        <v>909</v>
      </c>
      <c r="I79" s="5">
        <v>803</v>
      </c>
      <c r="J79" s="5">
        <v>315</v>
      </c>
      <c r="K79" s="6"/>
      <c r="L79" s="5">
        <v>140</v>
      </c>
      <c r="M79" s="5">
        <v>17</v>
      </c>
      <c r="N79" s="5">
        <v>635</v>
      </c>
      <c r="O79" s="6"/>
      <c r="P79" s="6">
        <f t="shared" si="11"/>
        <v>1099</v>
      </c>
      <c r="Q79" s="6">
        <f t="shared" si="12"/>
        <v>0</v>
      </c>
      <c r="R79" s="6">
        <f t="shared" si="13"/>
        <v>0</v>
      </c>
      <c r="S79" s="6">
        <f t="shared" si="14"/>
        <v>0</v>
      </c>
      <c r="T79" s="6">
        <f t="shared" si="15"/>
        <v>3441</v>
      </c>
      <c r="U79" s="6"/>
      <c r="V79" s="6"/>
      <c r="W79" s="5"/>
      <c r="X79" s="5"/>
      <c r="Y79" s="5"/>
      <c r="Z79" s="6">
        <f t="shared" si="16"/>
        <v>3441</v>
      </c>
    </row>
    <row r="80" spans="2:26">
      <c r="B80" s="4" t="s">
        <v>242</v>
      </c>
      <c r="C80" s="4" t="s">
        <v>243</v>
      </c>
      <c r="D80" s="4" t="s">
        <v>244</v>
      </c>
      <c r="E80" s="4" t="s">
        <v>25</v>
      </c>
      <c r="F80" s="5">
        <v>567</v>
      </c>
      <c r="G80" s="5">
        <v>50</v>
      </c>
      <c r="H80" s="5">
        <v>909</v>
      </c>
      <c r="I80" s="5">
        <v>803</v>
      </c>
      <c r="J80" s="5">
        <v>315</v>
      </c>
      <c r="K80" s="6"/>
      <c r="L80" s="5">
        <v>140</v>
      </c>
      <c r="M80" s="5">
        <v>17</v>
      </c>
      <c r="N80" s="5">
        <v>635</v>
      </c>
      <c r="O80" s="6"/>
      <c r="P80" s="6">
        <f t="shared" si="11"/>
        <v>1099</v>
      </c>
      <c r="Q80" s="6">
        <f t="shared" si="12"/>
        <v>0</v>
      </c>
      <c r="R80" s="6">
        <f t="shared" si="13"/>
        <v>0</v>
      </c>
      <c r="S80" s="6">
        <f t="shared" si="14"/>
        <v>0</v>
      </c>
      <c r="T80" s="6">
        <f t="shared" si="15"/>
        <v>3436</v>
      </c>
      <c r="U80" s="5">
        <v>-205</v>
      </c>
      <c r="V80" s="6"/>
      <c r="W80" s="5"/>
      <c r="X80" s="5"/>
      <c r="Y80" s="5"/>
      <c r="Z80" s="6">
        <f t="shared" si="16"/>
        <v>3231</v>
      </c>
    </row>
    <row r="81" spans="2:26">
      <c r="B81" s="4" t="s">
        <v>245</v>
      </c>
      <c r="C81" s="4" t="s">
        <v>246</v>
      </c>
      <c r="D81" s="4" t="s">
        <v>247</v>
      </c>
      <c r="E81" s="4" t="s">
        <v>25</v>
      </c>
      <c r="F81" s="5">
        <v>564</v>
      </c>
      <c r="G81" s="5">
        <v>50</v>
      </c>
      <c r="H81" s="5">
        <v>909</v>
      </c>
      <c r="I81" s="5">
        <v>803</v>
      </c>
      <c r="J81" s="5">
        <v>315</v>
      </c>
      <c r="K81" s="6"/>
      <c r="L81" s="5">
        <v>140</v>
      </c>
      <c r="M81" s="5">
        <v>17</v>
      </c>
      <c r="N81" s="5">
        <v>635</v>
      </c>
      <c r="O81" s="6"/>
      <c r="P81" s="6">
        <f t="shared" si="11"/>
        <v>1099</v>
      </c>
      <c r="Q81" s="6">
        <f t="shared" si="12"/>
        <v>0</v>
      </c>
      <c r="R81" s="6">
        <f t="shared" si="13"/>
        <v>0</v>
      </c>
      <c r="S81" s="6">
        <f t="shared" si="14"/>
        <v>0</v>
      </c>
      <c r="T81" s="6">
        <f t="shared" si="15"/>
        <v>3433</v>
      </c>
      <c r="U81" s="6"/>
      <c r="V81" s="6"/>
      <c r="W81" s="5"/>
      <c r="X81" s="5"/>
      <c r="Y81" s="5"/>
      <c r="Z81" s="6">
        <f t="shared" si="16"/>
        <v>3433</v>
      </c>
    </row>
    <row r="82" spans="2:26">
      <c r="B82" s="4" t="s">
        <v>248</v>
      </c>
      <c r="C82" s="4" t="s">
        <v>249</v>
      </c>
      <c r="D82" s="4" t="s">
        <v>250</v>
      </c>
      <c r="E82" s="4" t="s">
        <v>25</v>
      </c>
      <c r="F82" s="5">
        <v>565</v>
      </c>
      <c r="G82" s="5">
        <v>50</v>
      </c>
      <c r="H82" s="5">
        <v>909</v>
      </c>
      <c r="I82" s="5">
        <v>803</v>
      </c>
      <c r="J82" s="5">
        <v>315</v>
      </c>
      <c r="K82" s="5">
        <v>500</v>
      </c>
      <c r="L82" s="5">
        <v>140</v>
      </c>
      <c r="M82" s="5">
        <v>17</v>
      </c>
      <c r="N82" s="5">
        <v>635</v>
      </c>
      <c r="O82" s="5">
        <v>101</v>
      </c>
      <c r="P82" s="6">
        <f t="shared" si="11"/>
        <v>1099</v>
      </c>
      <c r="Q82" s="6">
        <f t="shared" si="12"/>
        <v>601</v>
      </c>
      <c r="R82" s="6">
        <f t="shared" si="13"/>
        <v>54</v>
      </c>
      <c r="S82" s="6">
        <f t="shared" si="14"/>
        <v>54</v>
      </c>
      <c r="T82" s="6">
        <f t="shared" si="15"/>
        <v>4143</v>
      </c>
      <c r="U82" s="6"/>
      <c r="V82" s="6"/>
      <c r="W82" s="5"/>
      <c r="X82" s="5"/>
      <c r="Y82" s="5"/>
      <c r="Z82" s="6">
        <f t="shared" si="16"/>
        <v>4143</v>
      </c>
    </row>
    <row r="83" spans="2:26">
      <c r="B83" s="4" t="s">
        <v>251</v>
      </c>
      <c r="C83" s="4" t="s">
        <v>252</v>
      </c>
      <c r="D83" s="4" t="s">
        <v>253</v>
      </c>
      <c r="E83" s="4" t="s">
        <v>25</v>
      </c>
      <c r="F83" s="5">
        <v>572</v>
      </c>
      <c r="G83" s="5">
        <v>50</v>
      </c>
      <c r="H83" s="5">
        <v>909</v>
      </c>
      <c r="I83" s="5">
        <v>803</v>
      </c>
      <c r="J83" s="5">
        <v>315</v>
      </c>
      <c r="K83" s="5">
        <v>200</v>
      </c>
      <c r="L83" s="5">
        <v>140</v>
      </c>
      <c r="M83" s="5">
        <v>17</v>
      </c>
      <c r="N83" s="5">
        <v>635</v>
      </c>
      <c r="O83" s="5">
        <v>101</v>
      </c>
      <c r="P83" s="6">
        <f t="shared" si="11"/>
        <v>1099</v>
      </c>
      <c r="Q83" s="6">
        <f t="shared" si="12"/>
        <v>301</v>
      </c>
      <c r="R83" s="6">
        <f t="shared" si="13"/>
        <v>27</v>
      </c>
      <c r="S83" s="6">
        <f t="shared" si="14"/>
        <v>27</v>
      </c>
      <c r="T83" s="6">
        <f t="shared" si="15"/>
        <v>3796</v>
      </c>
      <c r="U83" s="5">
        <v>24</v>
      </c>
      <c r="V83" s="6"/>
      <c r="W83" s="5"/>
      <c r="X83" s="5"/>
      <c r="Y83" s="5"/>
      <c r="Z83" s="6">
        <f t="shared" si="16"/>
        <v>3820</v>
      </c>
    </row>
    <row r="84" spans="2:26">
      <c r="B84" s="4" t="s">
        <v>254</v>
      </c>
      <c r="C84" s="4" t="s">
        <v>255</v>
      </c>
      <c r="D84" s="4" t="s">
        <v>256</v>
      </c>
      <c r="E84" s="4" t="s">
        <v>25</v>
      </c>
      <c r="F84" s="5">
        <v>567</v>
      </c>
      <c r="G84" s="5">
        <v>50</v>
      </c>
      <c r="H84" s="5">
        <v>909</v>
      </c>
      <c r="I84" s="5">
        <v>803</v>
      </c>
      <c r="J84" s="5">
        <v>315</v>
      </c>
      <c r="K84" s="5">
        <v>2850</v>
      </c>
      <c r="L84" s="5">
        <v>140</v>
      </c>
      <c r="M84" s="5">
        <v>17</v>
      </c>
      <c r="N84" s="5">
        <v>635</v>
      </c>
      <c r="O84" s="6"/>
      <c r="P84" s="6">
        <f t="shared" si="11"/>
        <v>1099</v>
      </c>
      <c r="Q84" s="6">
        <f t="shared" si="12"/>
        <v>2850</v>
      </c>
      <c r="R84" s="6">
        <f t="shared" si="13"/>
        <v>257</v>
      </c>
      <c r="S84" s="6">
        <f t="shared" si="14"/>
        <v>257</v>
      </c>
      <c r="T84" s="6">
        <f t="shared" si="15"/>
        <v>6800</v>
      </c>
      <c r="U84" s="6"/>
      <c r="V84" s="6"/>
      <c r="W84" s="5"/>
      <c r="X84" s="5"/>
      <c r="Y84" s="5"/>
      <c r="Z84" s="6">
        <f t="shared" si="16"/>
        <v>6800</v>
      </c>
    </row>
    <row r="85" spans="2:26">
      <c r="B85" s="4" t="s">
        <v>257</v>
      </c>
      <c r="C85" s="4" t="s">
        <v>258</v>
      </c>
      <c r="D85" s="4" t="s">
        <v>259</v>
      </c>
      <c r="E85" s="4" t="s">
        <v>25</v>
      </c>
      <c r="F85" s="5">
        <v>564</v>
      </c>
      <c r="G85" s="5">
        <v>50</v>
      </c>
      <c r="H85" s="5">
        <v>909</v>
      </c>
      <c r="I85" s="5">
        <v>803</v>
      </c>
      <c r="J85" s="5">
        <v>315</v>
      </c>
      <c r="K85" s="5">
        <v>200</v>
      </c>
      <c r="L85" s="5">
        <v>140</v>
      </c>
      <c r="M85" s="5">
        <v>17</v>
      </c>
      <c r="N85" s="5">
        <v>635</v>
      </c>
      <c r="O85" s="5">
        <v>101</v>
      </c>
      <c r="P85" s="6">
        <f t="shared" si="11"/>
        <v>1099</v>
      </c>
      <c r="Q85" s="6">
        <f t="shared" si="12"/>
        <v>301</v>
      </c>
      <c r="R85" s="6">
        <f t="shared" si="13"/>
        <v>27</v>
      </c>
      <c r="S85" s="6">
        <f t="shared" si="14"/>
        <v>27</v>
      </c>
      <c r="T85" s="6">
        <f t="shared" si="15"/>
        <v>3788</v>
      </c>
      <c r="U85" s="5">
        <v>-4490</v>
      </c>
      <c r="V85" s="6"/>
      <c r="W85" s="5"/>
      <c r="X85" s="5"/>
      <c r="Y85" s="5"/>
      <c r="Z85" s="6">
        <f t="shared" si="16"/>
        <v>-702</v>
      </c>
    </row>
    <row r="86" spans="2:26">
      <c r="B86" s="4" t="s">
        <v>260</v>
      </c>
      <c r="C86" s="4" t="s">
        <v>261</v>
      </c>
      <c r="D86" s="4" t="s">
        <v>262</v>
      </c>
      <c r="E86" s="4" t="s">
        <v>25</v>
      </c>
      <c r="F86" s="5">
        <v>565</v>
      </c>
      <c r="G86" s="5">
        <v>50</v>
      </c>
      <c r="H86" s="5">
        <v>909</v>
      </c>
      <c r="I86" s="5">
        <v>803</v>
      </c>
      <c r="J86" s="5">
        <v>315</v>
      </c>
      <c r="K86" s="5">
        <v>300</v>
      </c>
      <c r="L86" s="5">
        <v>140</v>
      </c>
      <c r="M86" s="5">
        <v>17</v>
      </c>
      <c r="N86" s="5">
        <v>635</v>
      </c>
      <c r="O86" s="6"/>
      <c r="P86" s="6">
        <f t="shared" si="11"/>
        <v>1099</v>
      </c>
      <c r="Q86" s="6">
        <f t="shared" si="12"/>
        <v>300</v>
      </c>
      <c r="R86" s="6">
        <f t="shared" si="13"/>
        <v>27</v>
      </c>
      <c r="S86" s="6">
        <f t="shared" si="14"/>
        <v>27</v>
      </c>
      <c r="T86" s="6">
        <f t="shared" si="15"/>
        <v>3788</v>
      </c>
      <c r="U86" s="6"/>
      <c r="V86" s="6"/>
      <c r="W86" s="5"/>
      <c r="X86" s="5"/>
      <c r="Y86" s="5"/>
      <c r="Z86" s="6">
        <f t="shared" si="16"/>
        <v>3788</v>
      </c>
    </row>
    <row r="87" spans="2:26">
      <c r="B87" s="4" t="s">
        <v>263</v>
      </c>
      <c r="C87" s="4" t="s">
        <v>264</v>
      </c>
      <c r="D87" s="4" t="s">
        <v>265</v>
      </c>
      <c r="E87" s="4" t="s">
        <v>25</v>
      </c>
      <c r="F87" s="5">
        <v>600</v>
      </c>
      <c r="G87" s="5">
        <v>50</v>
      </c>
      <c r="H87" s="5">
        <v>909</v>
      </c>
      <c r="I87" s="5">
        <v>803</v>
      </c>
      <c r="J87" s="5">
        <v>315</v>
      </c>
      <c r="K87" s="5">
        <v>300</v>
      </c>
      <c r="L87" s="5">
        <v>140</v>
      </c>
      <c r="M87" s="5">
        <v>17</v>
      </c>
      <c r="N87" s="5">
        <v>635</v>
      </c>
      <c r="O87" s="6"/>
      <c r="P87" s="6">
        <f t="shared" si="11"/>
        <v>1099</v>
      </c>
      <c r="Q87" s="6">
        <f t="shared" si="12"/>
        <v>300</v>
      </c>
      <c r="R87" s="6">
        <f t="shared" si="13"/>
        <v>27</v>
      </c>
      <c r="S87" s="6">
        <f t="shared" si="14"/>
        <v>27</v>
      </c>
      <c r="T87" s="6">
        <f t="shared" si="15"/>
        <v>3823</v>
      </c>
      <c r="U87" s="6"/>
      <c r="V87" s="6"/>
      <c r="W87" s="5"/>
      <c r="X87" s="5"/>
      <c r="Y87" s="5"/>
      <c r="Z87" s="6">
        <f t="shared" si="16"/>
        <v>3823</v>
      </c>
    </row>
    <row r="88" spans="2:26">
      <c r="B88" s="4" t="s">
        <v>266</v>
      </c>
      <c r="C88" s="4" t="s">
        <v>267</v>
      </c>
      <c r="D88" s="4" t="s">
        <v>268</v>
      </c>
      <c r="E88" s="4" t="s">
        <v>25</v>
      </c>
      <c r="F88" s="5">
        <v>594</v>
      </c>
      <c r="G88" s="5">
        <v>50</v>
      </c>
      <c r="H88" s="5">
        <v>909</v>
      </c>
      <c r="I88" s="5">
        <v>803</v>
      </c>
      <c r="J88" s="5">
        <v>315</v>
      </c>
      <c r="K88" s="6"/>
      <c r="L88" s="5">
        <v>140</v>
      </c>
      <c r="M88" s="5">
        <v>17</v>
      </c>
      <c r="N88" s="5">
        <v>635</v>
      </c>
      <c r="O88" s="6"/>
      <c r="P88" s="6">
        <f t="shared" si="11"/>
        <v>1099</v>
      </c>
      <c r="Q88" s="6">
        <f t="shared" si="12"/>
        <v>0</v>
      </c>
      <c r="R88" s="6">
        <f t="shared" si="13"/>
        <v>0</v>
      </c>
      <c r="S88" s="6">
        <f t="shared" si="14"/>
        <v>0</v>
      </c>
      <c r="T88" s="6">
        <f t="shared" si="15"/>
        <v>3463</v>
      </c>
      <c r="U88" s="6"/>
      <c r="V88" s="6"/>
      <c r="W88" s="5"/>
      <c r="X88" s="5"/>
      <c r="Y88" s="5"/>
      <c r="Z88" s="6">
        <f t="shared" si="16"/>
        <v>3463</v>
      </c>
    </row>
    <row r="89" spans="2:26">
      <c r="B89" s="4" t="s">
        <v>269</v>
      </c>
      <c r="C89" s="4" t="s">
        <v>270</v>
      </c>
      <c r="D89" s="4" t="s">
        <v>271</v>
      </c>
      <c r="E89" s="4" t="s">
        <v>25</v>
      </c>
      <c r="F89" s="5">
        <v>591</v>
      </c>
      <c r="G89" s="5">
        <v>50</v>
      </c>
      <c r="H89" s="5">
        <v>909</v>
      </c>
      <c r="I89" s="5">
        <v>803</v>
      </c>
      <c r="J89" s="5">
        <v>315</v>
      </c>
      <c r="K89" s="5">
        <v>500</v>
      </c>
      <c r="L89" s="5">
        <v>140</v>
      </c>
      <c r="M89" s="5">
        <v>17</v>
      </c>
      <c r="N89" s="5">
        <v>635</v>
      </c>
      <c r="O89" s="5">
        <v>101</v>
      </c>
      <c r="P89" s="6">
        <f t="shared" si="11"/>
        <v>1099</v>
      </c>
      <c r="Q89" s="6">
        <f t="shared" si="12"/>
        <v>601</v>
      </c>
      <c r="R89" s="6">
        <f t="shared" si="13"/>
        <v>54</v>
      </c>
      <c r="S89" s="6">
        <f t="shared" si="14"/>
        <v>54</v>
      </c>
      <c r="T89" s="6">
        <f t="shared" si="15"/>
        <v>4169</v>
      </c>
      <c r="U89" s="5">
        <v>10584</v>
      </c>
      <c r="V89" s="5">
        <v>209</v>
      </c>
      <c r="W89" s="5">
        <f t="shared" ref="W89:W127" si="17">ROUND(U89*21/100/365*31,0)</f>
        <v>189</v>
      </c>
      <c r="X89" s="5">
        <f>ROUND(W89*9/100,0)</f>
        <v>17</v>
      </c>
      <c r="Y89" s="5">
        <f>X89</f>
        <v>17</v>
      </c>
      <c r="Z89" s="6">
        <f t="shared" si="16"/>
        <v>15185</v>
      </c>
    </row>
    <row r="90" spans="2:26">
      <c r="B90" s="4" t="s">
        <v>272</v>
      </c>
      <c r="C90" s="4" t="s">
        <v>273</v>
      </c>
      <c r="D90" s="4" t="s">
        <v>274</v>
      </c>
      <c r="E90" s="4" t="s">
        <v>25</v>
      </c>
      <c r="F90" s="5">
        <v>593</v>
      </c>
      <c r="G90" s="5">
        <v>50</v>
      </c>
      <c r="H90" s="5">
        <v>909</v>
      </c>
      <c r="I90" s="5">
        <v>803</v>
      </c>
      <c r="J90" s="5">
        <v>315</v>
      </c>
      <c r="K90" s="6"/>
      <c r="L90" s="5">
        <v>140</v>
      </c>
      <c r="M90" s="5">
        <v>17</v>
      </c>
      <c r="N90" s="5">
        <v>635</v>
      </c>
      <c r="O90" s="5">
        <v>101</v>
      </c>
      <c r="P90" s="6">
        <f t="shared" si="11"/>
        <v>1099</v>
      </c>
      <c r="Q90" s="6">
        <f t="shared" si="12"/>
        <v>101</v>
      </c>
      <c r="R90" s="6">
        <f t="shared" si="13"/>
        <v>9</v>
      </c>
      <c r="S90" s="6">
        <f t="shared" si="14"/>
        <v>9</v>
      </c>
      <c r="T90" s="6">
        <f t="shared" si="15"/>
        <v>3581</v>
      </c>
      <c r="U90" s="6"/>
      <c r="V90" s="6"/>
      <c r="W90" s="5"/>
      <c r="X90" s="5"/>
      <c r="Y90" s="5"/>
      <c r="Z90" s="6">
        <f t="shared" si="16"/>
        <v>3581</v>
      </c>
    </row>
    <row r="91" spans="2:26">
      <c r="B91" s="4" t="s">
        <v>275</v>
      </c>
      <c r="C91" s="4" t="s">
        <v>276</v>
      </c>
      <c r="D91" s="4" t="s">
        <v>277</v>
      </c>
      <c r="E91" s="4" t="s">
        <v>25</v>
      </c>
      <c r="F91" s="5">
        <v>600</v>
      </c>
      <c r="G91" s="5">
        <v>50</v>
      </c>
      <c r="H91" s="5">
        <v>909</v>
      </c>
      <c r="I91" s="5">
        <v>803</v>
      </c>
      <c r="J91" s="5">
        <v>315</v>
      </c>
      <c r="K91" s="5">
        <v>200</v>
      </c>
      <c r="L91" s="5">
        <v>140</v>
      </c>
      <c r="M91" s="5">
        <v>17</v>
      </c>
      <c r="N91" s="5">
        <v>635</v>
      </c>
      <c r="O91" s="5">
        <v>101</v>
      </c>
      <c r="P91" s="6">
        <f t="shared" si="11"/>
        <v>1099</v>
      </c>
      <c r="Q91" s="6">
        <f t="shared" si="12"/>
        <v>301</v>
      </c>
      <c r="R91" s="6">
        <f t="shared" si="13"/>
        <v>27</v>
      </c>
      <c r="S91" s="6">
        <f t="shared" si="14"/>
        <v>27</v>
      </c>
      <c r="T91" s="6">
        <f t="shared" si="15"/>
        <v>3824</v>
      </c>
      <c r="U91" s="5">
        <v>2310</v>
      </c>
      <c r="V91" s="6"/>
      <c r="W91" s="5">
        <f t="shared" si="17"/>
        <v>41</v>
      </c>
      <c r="X91" s="5">
        <f>ROUND(W91*9/100,0)</f>
        <v>4</v>
      </c>
      <c r="Y91" s="5">
        <f>X91</f>
        <v>4</v>
      </c>
      <c r="Z91" s="6">
        <f t="shared" si="16"/>
        <v>6183</v>
      </c>
    </row>
    <row r="92" spans="2:26">
      <c r="B92" s="4" t="s">
        <v>278</v>
      </c>
      <c r="C92" s="4" t="s">
        <v>279</v>
      </c>
      <c r="D92" s="4" t="s">
        <v>280</v>
      </c>
      <c r="E92" s="4" t="s">
        <v>25</v>
      </c>
      <c r="F92" s="5">
        <v>594</v>
      </c>
      <c r="G92" s="5">
        <v>50</v>
      </c>
      <c r="H92" s="5">
        <v>909</v>
      </c>
      <c r="I92" s="5">
        <v>803</v>
      </c>
      <c r="J92" s="5">
        <v>315</v>
      </c>
      <c r="K92" s="5">
        <v>100</v>
      </c>
      <c r="L92" s="5">
        <v>140</v>
      </c>
      <c r="M92" s="5">
        <v>17</v>
      </c>
      <c r="N92" s="5">
        <v>635</v>
      </c>
      <c r="O92" s="6"/>
      <c r="P92" s="6">
        <f t="shared" si="11"/>
        <v>1099</v>
      </c>
      <c r="Q92" s="6">
        <f t="shared" si="12"/>
        <v>100</v>
      </c>
      <c r="R92" s="6">
        <f t="shared" si="13"/>
        <v>9</v>
      </c>
      <c r="S92" s="6">
        <f t="shared" si="14"/>
        <v>9</v>
      </c>
      <c r="T92" s="6">
        <f t="shared" si="15"/>
        <v>3581</v>
      </c>
      <c r="U92" s="5">
        <v>-150</v>
      </c>
      <c r="V92" s="6"/>
      <c r="W92" s="5"/>
      <c r="X92" s="5"/>
      <c r="Y92" s="5"/>
      <c r="Z92" s="6">
        <f t="shared" si="16"/>
        <v>3431</v>
      </c>
    </row>
    <row r="93" spans="2:26">
      <c r="B93" s="4" t="s">
        <v>281</v>
      </c>
      <c r="C93" s="4" t="s">
        <v>282</v>
      </c>
      <c r="D93" s="4" t="s">
        <v>283</v>
      </c>
      <c r="E93" s="4" t="s">
        <v>25</v>
      </c>
      <c r="F93" s="5">
        <v>591</v>
      </c>
      <c r="G93" s="5">
        <v>50</v>
      </c>
      <c r="H93" s="5">
        <v>909</v>
      </c>
      <c r="I93" s="5">
        <v>803</v>
      </c>
      <c r="J93" s="5">
        <v>315</v>
      </c>
      <c r="K93" s="5">
        <v>300</v>
      </c>
      <c r="L93" s="5">
        <v>140</v>
      </c>
      <c r="M93" s="5">
        <v>17</v>
      </c>
      <c r="N93" s="5">
        <v>635</v>
      </c>
      <c r="O93" s="6"/>
      <c r="P93" s="6">
        <f t="shared" si="11"/>
        <v>1099</v>
      </c>
      <c r="Q93" s="6">
        <f t="shared" si="12"/>
        <v>300</v>
      </c>
      <c r="R93" s="6">
        <f t="shared" si="13"/>
        <v>27</v>
      </c>
      <c r="S93" s="6">
        <f t="shared" si="14"/>
        <v>27</v>
      </c>
      <c r="T93" s="6">
        <f t="shared" si="15"/>
        <v>3814</v>
      </c>
      <c r="U93" s="6"/>
      <c r="V93" s="6"/>
      <c r="W93" s="5"/>
      <c r="X93" s="5"/>
      <c r="Y93" s="5"/>
      <c r="Z93" s="6">
        <f t="shared" si="16"/>
        <v>3814</v>
      </c>
    </row>
    <row r="94" spans="2:26">
      <c r="B94" s="4" t="s">
        <v>284</v>
      </c>
      <c r="C94" s="4" t="s">
        <v>285</v>
      </c>
      <c r="D94" s="4" t="s">
        <v>286</v>
      </c>
      <c r="E94" s="4" t="s">
        <v>25</v>
      </c>
      <c r="F94" s="5">
        <v>593</v>
      </c>
      <c r="G94" s="5">
        <v>50</v>
      </c>
      <c r="H94" s="5">
        <v>909</v>
      </c>
      <c r="I94" s="5">
        <v>803</v>
      </c>
      <c r="J94" s="5">
        <v>315</v>
      </c>
      <c r="K94" s="6"/>
      <c r="L94" s="5">
        <v>140</v>
      </c>
      <c r="M94" s="5">
        <v>17</v>
      </c>
      <c r="N94" s="5">
        <v>635</v>
      </c>
      <c r="O94" s="6"/>
      <c r="P94" s="6">
        <f t="shared" si="11"/>
        <v>1099</v>
      </c>
      <c r="Q94" s="6">
        <f t="shared" si="12"/>
        <v>0</v>
      </c>
      <c r="R94" s="6">
        <f t="shared" si="13"/>
        <v>0</v>
      </c>
      <c r="S94" s="6">
        <f t="shared" si="14"/>
        <v>0</v>
      </c>
      <c r="T94" s="6">
        <f t="shared" si="15"/>
        <v>3462</v>
      </c>
      <c r="U94" s="6"/>
      <c r="V94" s="6"/>
      <c r="W94" s="5"/>
      <c r="X94" s="5"/>
      <c r="Y94" s="5"/>
      <c r="Z94" s="6">
        <f t="shared" si="16"/>
        <v>3462</v>
      </c>
    </row>
    <row r="95" spans="2:26">
      <c r="B95" s="4" t="s">
        <v>287</v>
      </c>
      <c r="C95" s="4" t="s">
        <v>288</v>
      </c>
      <c r="D95" s="4" t="s">
        <v>289</v>
      </c>
      <c r="E95" s="4" t="s">
        <v>25</v>
      </c>
      <c r="F95" s="5">
        <v>600</v>
      </c>
      <c r="G95" s="5">
        <v>50</v>
      </c>
      <c r="H95" s="5">
        <v>909</v>
      </c>
      <c r="I95" s="5">
        <v>803</v>
      </c>
      <c r="J95" s="5">
        <v>315</v>
      </c>
      <c r="K95" s="5">
        <v>700</v>
      </c>
      <c r="L95" s="5">
        <v>140</v>
      </c>
      <c r="M95" s="5">
        <v>17</v>
      </c>
      <c r="N95" s="5">
        <v>635</v>
      </c>
      <c r="O95" s="5">
        <v>101</v>
      </c>
      <c r="P95" s="6">
        <f t="shared" si="11"/>
        <v>1099</v>
      </c>
      <c r="Q95" s="6">
        <f t="shared" si="12"/>
        <v>801</v>
      </c>
      <c r="R95" s="6">
        <f t="shared" si="13"/>
        <v>72</v>
      </c>
      <c r="S95" s="6">
        <f t="shared" si="14"/>
        <v>72</v>
      </c>
      <c r="T95" s="6">
        <f t="shared" si="15"/>
        <v>4414</v>
      </c>
      <c r="U95" s="6"/>
      <c r="V95" s="6"/>
      <c r="W95" s="5"/>
      <c r="X95" s="5"/>
      <c r="Y95" s="5"/>
      <c r="Z95" s="6">
        <f t="shared" si="16"/>
        <v>4414</v>
      </c>
    </row>
    <row r="96" spans="2:26">
      <c r="B96" s="4" t="s">
        <v>290</v>
      </c>
      <c r="C96" s="4" t="s">
        <v>291</v>
      </c>
      <c r="D96" s="4" t="s">
        <v>292</v>
      </c>
      <c r="E96" s="4" t="s">
        <v>25</v>
      </c>
      <c r="F96" s="5">
        <v>594</v>
      </c>
      <c r="G96" s="5">
        <v>50</v>
      </c>
      <c r="H96" s="5">
        <v>909</v>
      </c>
      <c r="I96" s="5">
        <v>803</v>
      </c>
      <c r="J96" s="5">
        <v>315</v>
      </c>
      <c r="K96" s="5">
        <v>100</v>
      </c>
      <c r="L96" s="5">
        <v>140</v>
      </c>
      <c r="M96" s="5">
        <v>17</v>
      </c>
      <c r="N96" s="5">
        <v>635</v>
      </c>
      <c r="O96" s="6"/>
      <c r="P96" s="6">
        <f t="shared" si="11"/>
        <v>1099</v>
      </c>
      <c r="Q96" s="6">
        <f t="shared" si="12"/>
        <v>100</v>
      </c>
      <c r="R96" s="6">
        <f t="shared" si="13"/>
        <v>9</v>
      </c>
      <c r="S96" s="6">
        <f t="shared" si="14"/>
        <v>9</v>
      </c>
      <c r="T96" s="6">
        <f t="shared" si="15"/>
        <v>3581</v>
      </c>
      <c r="U96" s="5">
        <v>14700</v>
      </c>
      <c r="V96" s="5">
        <v>592</v>
      </c>
      <c r="W96" s="5">
        <f t="shared" si="17"/>
        <v>262</v>
      </c>
      <c r="X96" s="5">
        <f>ROUND(W96*9/100,0)</f>
        <v>24</v>
      </c>
      <c r="Y96" s="5">
        <f>X96</f>
        <v>24</v>
      </c>
      <c r="Z96" s="6">
        <f t="shared" si="16"/>
        <v>19183</v>
      </c>
    </row>
    <row r="97" spans="2:26">
      <c r="B97" s="4" t="s">
        <v>293</v>
      </c>
      <c r="C97" s="4" t="s">
        <v>294</v>
      </c>
      <c r="D97" s="4" t="s">
        <v>295</v>
      </c>
      <c r="E97" s="4" t="s">
        <v>25</v>
      </c>
      <c r="F97" s="5">
        <v>591</v>
      </c>
      <c r="G97" s="5">
        <v>50</v>
      </c>
      <c r="H97" s="5">
        <v>909</v>
      </c>
      <c r="I97" s="5">
        <v>803</v>
      </c>
      <c r="J97" s="5">
        <v>315</v>
      </c>
      <c r="K97" s="5">
        <v>700</v>
      </c>
      <c r="L97" s="5">
        <v>140</v>
      </c>
      <c r="M97" s="5">
        <v>17</v>
      </c>
      <c r="N97" s="5">
        <v>635</v>
      </c>
      <c r="O97" s="5">
        <v>101</v>
      </c>
      <c r="P97" s="6">
        <f t="shared" si="11"/>
        <v>1099</v>
      </c>
      <c r="Q97" s="6">
        <f t="shared" si="12"/>
        <v>801</v>
      </c>
      <c r="R97" s="6">
        <f t="shared" si="13"/>
        <v>72</v>
      </c>
      <c r="S97" s="6">
        <f t="shared" si="14"/>
        <v>72</v>
      </c>
      <c r="T97" s="6">
        <f t="shared" si="15"/>
        <v>4405</v>
      </c>
      <c r="U97" s="6"/>
      <c r="V97" s="6"/>
      <c r="W97" s="5"/>
      <c r="X97" s="5"/>
      <c r="Y97" s="5"/>
      <c r="Z97" s="6">
        <f t="shared" si="16"/>
        <v>4405</v>
      </c>
    </row>
    <row r="98" spans="2:26">
      <c r="B98" s="4" t="s">
        <v>296</v>
      </c>
      <c r="C98" s="4" t="s">
        <v>297</v>
      </c>
      <c r="D98" s="4" t="s">
        <v>298</v>
      </c>
      <c r="E98" s="4" t="s">
        <v>25</v>
      </c>
      <c r="F98" s="5">
        <v>593</v>
      </c>
      <c r="G98" s="5">
        <v>50</v>
      </c>
      <c r="H98" s="5">
        <v>909</v>
      </c>
      <c r="I98" s="5">
        <v>803</v>
      </c>
      <c r="J98" s="5">
        <v>315</v>
      </c>
      <c r="K98" s="5">
        <v>250</v>
      </c>
      <c r="L98" s="5">
        <v>140</v>
      </c>
      <c r="M98" s="5">
        <v>17</v>
      </c>
      <c r="N98" s="5">
        <v>635</v>
      </c>
      <c r="O98" s="6"/>
      <c r="P98" s="6">
        <f t="shared" si="11"/>
        <v>1099</v>
      </c>
      <c r="Q98" s="6">
        <f t="shared" si="12"/>
        <v>250</v>
      </c>
      <c r="R98" s="6">
        <f t="shared" si="13"/>
        <v>23</v>
      </c>
      <c r="S98" s="6">
        <f t="shared" si="14"/>
        <v>23</v>
      </c>
      <c r="T98" s="6">
        <f t="shared" si="15"/>
        <v>3758</v>
      </c>
      <c r="U98" s="6"/>
      <c r="V98" s="6"/>
      <c r="W98" s="5"/>
      <c r="X98" s="5"/>
      <c r="Y98" s="5"/>
      <c r="Z98" s="6">
        <f t="shared" si="16"/>
        <v>3758</v>
      </c>
    </row>
    <row r="99" spans="2:26">
      <c r="B99" s="4" t="s">
        <v>299</v>
      </c>
      <c r="C99" s="4" t="s">
        <v>300</v>
      </c>
      <c r="D99" s="4" t="s">
        <v>301</v>
      </c>
      <c r="E99" s="4" t="s">
        <v>25</v>
      </c>
      <c r="F99" s="5">
        <v>600</v>
      </c>
      <c r="G99" s="5">
        <v>50</v>
      </c>
      <c r="H99" s="5">
        <v>909</v>
      </c>
      <c r="I99" s="5">
        <v>803</v>
      </c>
      <c r="J99" s="5">
        <v>315</v>
      </c>
      <c r="K99" s="5">
        <v>200</v>
      </c>
      <c r="L99" s="5">
        <v>140</v>
      </c>
      <c r="M99" s="5">
        <v>17</v>
      </c>
      <c r="N99" s="5">
        <v>635</v>
      </c>
      <c r="O99" s="6"/>
      <c r="P99" s="6">
        <f t="shared" si="11"/>
        <v>1099</v>
      </c>
      <c r="Q99" s="6">
        <f t="shared" si="12"/>
        <v>200</v>
      </c>
      <c r="R99" s="6">
        <f t="shared" si="13"/>
        <v>18</v>
      </c>
      <c r="S99" s="6">
        <f t="shared" si="14"/>
        <v>18</v>
      </c>
      <c r="T99" s="6">
        <f t="shared" si="15"/>
        <v>3705</v>
      </c>
      <c r="U99" s="5">
        <v>-315</v>
      </c>
      <c r="V99" s="6"/>
      <c r="W99" s="5"/>
      <c r="X99" s="5"/>
      <c r="Y99" s="5"/>
      <c r="Z99" s="6">
        <f t="shared" si="16"/>
        <v>3390</v>
      </c>
    </row>
    <row r="100" spans="2:26">
      <c r="B100" s="4" t="s">
        <v>302</v>
      </c>
      <c r="C100" s="4" t="s">
        <v>303</v>
      </c>
      <c r="D100" s="13" t="s">
        <v>304</v>
      </c>
      <c r="E100" s="13" t="s">
        <v>25</v>
      </c>
      <c r="F100" s="14">
        <v>594</v>
      </c>
      <c r="G100" s="14">
        <v>50</v>
      </c>
      <c r="H100" s="14">
        <v>909</v>
      </c>
      <c r="I100" s="14">
        <v>803</v>
      </c>
      <c r="J100" s="14">
        <v>315</v>
      </c>
      <c r="K100" s="14">
        <v>0</v>
      </c>
      <c r="L100" s="14">
        <v>140</v>
      </c>
      <c r="M100" s="14">
        <v>17</v>
      </c>
      <c r="N100" s="14">
        <v>635</v>
      </c>
      <c r="O100" s="15"/>
      <c r="P100" s="15">
        <f t="shared" si="11"/>
        <v>1099</v>
      </c>
      <c r="Q100" s="15">
        <f t="shared" si="12"/>
        <v>0</v>
      </c>
      <c r="R100" s="15">
        <f t="shared" si="13"/>
        <v>0</v>
      </c>
      <c r="S100" s="15">
        <f t="shared" si="14"/>
        <v>0</v>
      </c>
      <c r="T100" s="15">
        <f t="shared" si="15"/>
        <v>3463</v>
      </c>
      <c r="U100" s="14">
        <v>236</v>
      </c>
      <c r="V100" s="15"/>
      <c r="W100" s="14">
        <f t="shared" si="17"/>
        <v>4</v>
      </c>
      <c r="X100" s="14">
        <f>ROUND(W100*9/100,0)</f>
        <v>0</v>
      </c>
      <c r="Y100" s="14">
        <f>X100</f>
        <v>0</v>
      </c>
      <c r="Z100" s="15">
        <f t="shared" si="16"/>
        <v>3703</v>
      </c>
    </row>
    <row r="101" spans="2:26">
      <c r="B101" s="4" t="s">
        <v>305</v>
      </c>
      <c r="C101" s="4" t="s">
        <v>306</v>
      </c>
      <c r="D101" s="4" t="s">
        <v>307</v>
      </c>
      <c r="E101" s="4" t="s">
        <v>25</v>
      </c>
      <c r="F101" s="5">
        <v>591</v>
      </c>
      <c r="G101" s="5">
        <v>50</v>
      </c>
      <c r="H101" s="5">
        <v>909</v>
      </c>
      <c r="I101" s="5">
        <v>803</v>
      </c>
      <c r="J101" s="5">
        <v>315</v>
      </c>
      <c r="K101" s="5">
        <v>100</v>
      </c>
      <c r="L101" s="5">
        <v>140</v>
      </c>
      <c r="M101" s="5">
        <v>17</v>
      </c>
      <c r="N101" s="5">
        <v>635</v>
      </c>
      <c r="O101" s="6"/>
      <c r="P101" s="6">
        <f t="shared" si="11"/>
        <v>1099</v>
      </c>
      <c r="Q101" s="6">
        <f t="shared" si="12"/>
        <v>100</v>
      </c>
      <c r="R101" s="6">
        <f t="shared" si="13"/>
        <v>9</v>
      </c>
      <c r="S101" s="6">
        <f t="shared" si="14"/>
        <v>9</v>
      </c>
      <c r="T101" s="6">
        <f t="shared" si="15"/>
        <v>3578</v>
      </c>
      <c r="U101" s="6"/>
      <c r="V101" s="6"/>
      <c r="W101" s="5"/>
      <c r="X101" s="5"/>
      <c r="Y101" s="5"/>
      <c r="Z101" s="6">
        <f t="shared" si="16"/>
        <v>3578</v>
      </c>
    </row>
    <row r="102" spans="2:26">
      <c r="B102" s="4" t="s">
        <v>308</v>
      </c>
      <c r="C102" s="4" t="s">
        <v>309</v>
      </c>
      <c r="D102" s="4" t="s">
        <v>310</v>
      </c>
      <c r="E102" s="4" t="s">
        <v>25</v>
      </c>
      <c r="F102" s="5">
        <v>593</v>
      </c>
      <c r="G102" s="5">
        <v>50</v>
      </c>
      <c r="H102" s="5">
        <v>909</v>
      </c>
      <c r="I102" s="5">
        <v>803</v>
      </c>
      <c r="J102" s="5">
        <v>315</v>
      </c>
      <c r="K102" s="5">
        <v>300</v>
      </c>
      <c r="L102" s="5">
        <v>140</v>
      </c>
      <c r="M102" s="5">
        <v>17</v>
      </c>
      <c r="N102" s="5">
        <v>635</v>
      </c>
      <c r="O102" s="6"/>
      <c r="P102" s="6">
        <f t="shared" si="11"/>
        <v>1099</v>
      </c>
      <c r="Q102" s="6">
        <f t="shared" si="12"/>
        <v>300</v>
      </c>
      <c r="R102" s="6">
        <f t="shared" si="13"/>
        <v>27</v>
      </c>
      <c r="S102" s="6">
        <f t="shared" si="14"/>
        <v>27</v>
      </c>
      <c r="T102" s="6">
        <f t="shared" si="15"/>
        <v>3816</v>
      </c>
      <c r="U102" s="6"/>
      <c r="V102" s="6"/>
      <c r="W102" s="5"/>
      <c r="X102" s="5"/>
      <c r="Y102" s="5"/>
      <c r="Z102" s="6">
        <f t="shared" si="16"/>
        <v>3816</v>
      </c>
    </row>
    <row r="103" spans="2:26">
      <c r="B103" s="4" t="s">
        <v>311</v>
      </c>
      <c r="C103" s="4" t="s">
        <v>312</v>
      </c>
      <c r="D103" s="4" t="s">
        <v>313</v>
      </c>
      <c r="E103" s="4" t="s">
        <v>25</v>
      </c>
      <c r="F103" s="5">
        <v>798</v>
      </c>
      <c r="G103" s="5">
        <v>65</v>
      </c>
      <c r="H103" s="5">
        <v>929</v>
      </c>
      <c r="I103" s="5">
        <v>930</v>
      </c>
      <c r="J103" s="5">
        <v>315</v>
      </c>
      <c r="K103" s="5">
        <v>350</v>
      </c>
      <c r="L103" s="5">
        <v>190</v>
      </c>
      <c r="M103" s="5">
        <v>17</v>
      </c>
      <c r="N103" s="5">
        <v>635</v>
      </c>
      <c r="O103" s="6"/>
      <c r="P103" s="6">
        <f t="shared" si="11"/>
        <v>1184</v>
      </c>
      <c r="Q103" s="6">
        <f t="shared" si="12"/>
        <v>350</v>
      </c>
      <c r="R103" s="6">
        <f t="shared" si="13"/>
        <v>32</v>
      </c>
      <c r="S103" s="6">
        <f t="shared" si="14"/>
        <v>32</v>
      </c>
      <c r="T103" s="6">
        <f t="shared" si="15"/>
        <v>4293</v>
      </c>
      <c r="U103" s="6"/>
      <c r="V103" s="6"/>
      <c r="W103" s="5"/>
      <c r="X103" s="5"/>
      <c r="Y103" s="5"/>
      <c r="Z103" s="6">
        <f t="shared" si="16"/>
        <v>4293</v>
      </c>
    </row>
    <row r="104" spans="2:26">
      <c r="B104" s="4" t="s">
        <v>314</v>
      </c>
      <c r="C104" s="4" t="s">
        <v>315</v>
      </c>
      <c r="D104" s="4" t="s">
        <v>316</v>
      </c>
      <c r="E104" s="4" t="s">
        <v>25</v>
      </c>
      <c r="F104" s="5">
        <v>557</v>
      </c>
      <c r="G104" s="5">
        <v>50</v>
      </c>
      <c r="H104" s="5">
        <v>909</v>
      </c>
      <c r="I104" s="5">
        <v>803</v>
      </c>
      <c r="J104" s="5">
        <v>315</v>
      </c>
      <c r="K104" s="5">
        <v>450</v>
      </c>
      <c r="L104" s="5">
        <v>140</v>
      </c>
      <c r="M104" s="5">
        <v>17</v>
      </c>
      <c r="N104" s="5">
        <v>635</v>
      </c>
      <c r="O104" s="5">
        <v>101</v>
      </c>
      <c r="P104" s="6">
        <f t="shared" si="11"/>
        <v>1099</v>
      </c>
      <c r="Q104" s="6">
        <f t="shared" si="12"/>
        <v>551</v>
      </c>
      <c r="R104" s="6">
        <f t="shared" si="13"/>
        <v>50</v>
      </c>
      <c r="S104" s="6">
        <f t="shared" si="14"/>
        <v>50</v>
      </c>
      <c r="T104" s="6">
        <f t="shared" si="15"/>
        <v>4077</v>
      </c>
      <c r="U104" s="5">
        <v>2271</v>
      </c>
      <c r="V104" s="6"/>
      <c r="W104" s="5">
        <f t="shared" si="17"/>
        <v>41</v>
      </c>
      <c r="X104" s="5">
        <f>ROUND(W104*9/100,0)</f>
        <v>4</v>
      </c>
      <c r="Y104" s="5">
        <f>X104</f>
        <v>4</v>
      </c>
      <c r="Z104" s="6">
        <f t="shared" si="16"/>
        <v>6397</v>
      </c>
    </row>
    <row r="105" spans="2:26">
      <c r="B105" s="4" t="s">
        <v>317</v>
      </c>
      <c r="C105" s="4" t="s">
        <v>318</v>
      </c>
      <c r="D105" s="4" t="s">
        <v>319</v>
      </c>
      <c r="E105" s="4" t="s">
        <v>25</v>
      </c>
      <c r="F105" s="5">
        <v>563</v>
      </c>
      <c r="G105" s="5">
        <v>50</v>
      </c>
      <c r="H105" s="5">
        <v>909</v>
      </c>
      <c r="I105" s="5">
        <v>803</v>
      </c>
      <c r="J105" s="5">
        <v>315</v>
      </c>
      <c r="K105" s="5">
        <v>300</v>
      </c>
      <c r="L105" s="5">
        <v>140</v>
      </c>
      <c r="M105" s="5">
        <v>17</v>
      </c>
      <c r="N105" s="5">
        <v>635</v>
      </c>
      <c r="O105" s="6"/>
      <c r="P105" s="6">
        <f t="shared" si="11"/>
        <v>1099</v>
      </c>
      <c r="Q105" s="6">
        <f t="shared" si="12"/>
        <v>300</v>
      </c>
      <c r="R105" s="6">
        <f t="shared" si="13"/>
        <v>27</v>
      </c>
      <c r="S105" s="6">
        <f t="shared" si="14"/>
        <v>27</v>
      </c>
      <c r="T105" s="6">
        <f t="shared" si="15"/>
        <v>3786</v>
      </c>
      <c r="U105" s="6"/>
      <c r="V105" s="6"/>
      <c r="W105" s="5"/>
      <c r="X105" s="5"/>
      <c r="Y105" s="5"/>
      <c r="Z105" s="6">
        <f t="shared" si="16"/>
        <v>3786</v>
      </c>
    </row>
    <row r="106" spans="2:26">
      <c r="B106" s="4" t="s">
        <v>320</v>
      </c>
      <c r="C106" s="4" t="s">
        <v>321</v>
      </c>
      <c r="D106" s="4" t="s">
        <v>322</v>
      </c>
      <c r="E106" s="4" t="s">
        <v>25</v>
      </c>
      <c r="F106" s="5">
        <v>798</v>
      </c>
      <c r="G106" s="5">
        <v>65</v>
      </c>
      <c r="H106" s="5">
        <v>929</v>
      </c>
      <c r="I106" s="5">
        <v>930</v>
      </c>
      <c r="J106" s="5">
        <v>315</v>
      </c>
      <c r="K106" s="5">
        <v>200</v>
      </c>
      <c r="L106" s="5">
        <v>190</v>
      </c>
      <c r="M106" s="5">
        <v>17</v>
      </c>
      <c r="N106" s="5">
        <v>635</v>
      </c>
      <c r="O106" s="6"/>
      <c r="P106" s="6">
        <f t="shared" si="11"/>
        <v>1184</v>
      </c>
      <c r="Q106" s="6">
        <f t="shared" si="12"/>
        <v>200</v>
      </c>
      <c r="R106" s="6">
        <f t="shared" si="13"/>
        <v>18</v>
      </c>
      <c r="S106" s="6">
        <f t="shared" si="14"/>
        <v>18</v>
      </c>
      <c r="T106" s="6">
        <f t="shared" si="15"/>
        <v>4115</v>
      </c>
      <c r="U106" s="6"/>
      <c r="V106" s="6"/>
      <c r="W106" s="5"/>
      <c r="X106" s="5"/>
      <c r="Y106" s="5"/>
      <c r="Z106" s="6">
        <f t="shared" si="16"/>
        <v>4115</v>
      </c>
    </row>
    <row r="107" spans="2:26">
      <c r="B107" s="4" t="s">
        <v>323</v>
      </c>
      <c r="C107" s="4" t="s">
        <v>324</v>
      </c>
      <c r="D107" s="4" t="s">
        <v>325</v>
      </c>
      <c r="E107" s="4" t="s">
        <v>25</v>
      </c>
      <c r="F107" s="5">
        <v>500</v>
      </c>
      <c r="G107" s="5">
        <v>50</v>
      </c>
      <c r="H107" s="5">
        <v>909</v>
      </c>
      <c r="I107" s="5">
        <v>803</v>
      </c>
      <c r="J107" s="5">
        <v>315</v>
      </c>
      <c r="K107" s="5">
        <v>200</v>
      </c>
      <c r="L107" s="5">
        <v>140</v>
      </c>
      <c r="M107" s="5">
        <v>17</v>
      </c>
      <c r="N107" s="5">
        <v>635</v>
      </c>
      <c r="O107" s="5">
        <v>101</v>
      </c>
      <c r="P107" s="6">
        <f t="shared" si="11"/>
        <v>1099</v>
      </c>
      <c r="Q107" s="6">
        <f t="shared" si="12"/>
        <v>301</v>
      </c>
      <c r="R107" s="6">
        <f t="shared" si="13"/>
        <v>27</v>
      </c>
      <c r="S107" s="6">
        <f t="shared" si="14"/>
        <v>27</v>
      </c>
      <c r="T107" s="6">
        <f t="shared" si="15"/>
        <v>3724</v>
      </c>
      <c r="U107" s="6"/>
      <c r="V107" s="6"/>
      <c r="W107" s="5"/>
      <c r="X107" s="5"/>
      <c r="Y107" s="5"/>
      <c r="Z107" s="6">
        <f t="shared" si="16"/>
        <v>3724</v>
      </c>
    </row>
    <row r="108" spans="2:26">
      <c r="B108" s="4" t="s">
        <v>326</v>
      </c>
      <c r="C108" s="4" t="s">
        <v>327</v>
      </c>
      <c r="D108" s="4" t="s">
        <v>328</v>
      </c>
      <c r="E108" s="4" t="s">
        <v>25</v>
      </c>
      <c r="F108" s="5">
        <v>563</v>
      </c>
      <c r="G108" s="5">
        <v>50</v>
      </c>
      <c r="H108" s="5">
        <v>909</v>
      </c>
      <c r="I108" s="5">
        <v>803</v>
      </c>
      <c r="J108" s="5">
        <v>315</v>
      </c>
      <c r="K108" s="5">
        <v>500</v>
      </c>
      <c r="L108" s="5">
        <v>140</v>
      </c>
      <c r="M108" s="5">
        <v>17</v>
      </c>
      <c r="N108" s="5">
        <v>635</v>
      </c>
      <c r="O108" s="6"/>
      <c r="P108" s="6">
        <f t="shared" si="11"/>
        <v>1099</v>
      </c>
      <c r="Q108" s="6">
        <f t="shared" si="12"/>
        <v>500</v>
      </c>
      <c r="R108" s="6">
        <f t="shared" si="13"/>
        <v>45</v>
      </c>
      <c r="S108" s="6">
        <f t="shared" si="14"/>
        <v>45</v>
      </c>
      <c r="T108" s="6">
        <f t="shared" si="15"/>
        <v>4022</v>
      </c>
      <c r="U108" s="6"/>
      <c r="V108" s="6"/>
      <c r="W108" s="5"/>
      <c r="X108" s="5"/>
      <c r="Y108" s="5"/>
      <c r="Z108" s="6">
        <f t="shared" si="16"/>
        <v>4022</v>
      </c>
    </row>
    <row r="109" spans="2:26">
      <c r="B109" s="4" t="s">
        <v>329</v>
      </c>
      <c r="C109" s="4" t="s">
        <v>330</v>
      </c>
      <c r="D109" s="4" t="s">
        <v>331</v>
      </c>
      <c r="E109" s="4" t="s">
        <v>25</v>
      </c>
      <c r="F109" s="5">
        <v>798</v>
      </c>
      <c r="G109" s="5">
        <v>65</v>
      </c>
      <c r="H109" s="5">
        <v>929</v>
      </c>
      <c r="I109" s="5">
        <v>930</v>
      </c>
      <c r="J109" s="5">
        <v>315</v>
      </c>
      <c r="K109" s="5">
        <v>350</v>
      </c>
      <c r="L109" s="5">
        <v>190</v>
      </c>
      <c r="M109" s="5">
        <v>17</v>
      </c>
      <c r="N109" s="5">
        <v>635</v>
      </c>
      <c r="O109" s="6"/>
      <c r="P109" s="6">
        <f t="shared" si="11"/>
        <v>1184</v>
      </c>
      <c r="Q109" s="6">
        <f t="shared" si="12"/>
        <v>350</v>
      </c>
      <c r="R109" s="6">
        <f t="shared" si="13"/>
        <v>32</v>
      </c>
      <c r="S109" s="6">
        <f t="shared" si="14"/>
        <v>32</v>
      </c>
      <c r="T109" s="6">
        <f t="shared" si="15"/>
        <v>4293</v>
      </c>
      <c r="U109" s="5">
        <v>3652</v>
      </c>
      <c r="V109" s="6"/>
      <c r="W109" s="5">
        <f t="shared" si="17"/>
        <v>65</v>
      </c>
      <c r="X109" s="5">
        <f>ROUND(W109*9/100,0)</f>
        <v>6</v>
      </c>
      <c r="Y109" s="5">
        <f>X109</f>
        <v>6</v>
      </c>
      <c r="Z109" s="6">
        <f t="shared" si="16"/>
        <v>8022</v>
      </c>
    </row>
    <row r="110" spans="2:26">
      <c r="B110" s="4" t="s">
        <v>332</v>
      </c>
      <c r="C110" s="4" t="s">
        <v>333</v>
      </c>
      <c r="D110" s="4" t="s">
        <v>334</v>
      </c>
      <c r="E110" s="4" t="s">
        <v>25</v>
      </c>
      <c r="F110" s="5">
        <v>557</v>
      </c>
      <c r="G110" s="5">
        <v>50</v>
      </c>
      <c r="H110" s="5">
        <v>909</v>
      </c>
      <c r="I110" s="5">
        <v>803</v>
      </c>
      <c r="J110" s="5">
        <v>315</v>
      </c>
      <c r="K110" s="6"/>
      <c r="L110" s="5">
        <v>140</v>
      </c>
      <c r="M110" s="5">
        <v>17</v>
      </c>
      <c r="N110" s="5">
        <v>635</v>
      </c>
      <c r="O110" s="6"/>
      <c r="P110" s="6">
        <f t="shared" si="11"/>
        <v>1099</v>
      </c>
      <c r="Q110" s="6">
        <f t="shared" si="12"/>
        <v>0</v>
      </c>
      <c r="R110" s="6">
        <f t="shared" si="13"/>
        <v>0</v>
      </c>
      <c r="S110" s="6">
        <f t="shared" si="14"/>
        <v>0</v>
      </c>
      <c r="T110" s="6">
        <f t="shared" si="15"/>
        <v>3426</v>
      </c>
      <c r="U110" s="6"/>
      <c r="V110" s="6"/>
      <c r="W110" s="5"/>
      <c r="X110" s="5"/>
      <c r="Y110" s="5"/>
      <c r="Z110" s="6">
        <f t="shared" si="16"/>
        <v>3426</v>
      </c>
    </row>
    <row r="111" spans="2:26">
      <c r="B111" s="4" t="s">
        <v>335</v>
      </c>
      <c r="C111" s="4" t="s">
        <v>336</v>
      </c>
      <c r="D111" s="4" t="s">
        <v>337</v>
      </c>
      <c r="E111" s="4" t="s">
        <v>25</v>
      </c>
      <c r="F111" s="5">
        <v>563</v>
      </c>
      <c r="G111" s="5">
        <v>50</v>
      </c>
      <c r="H111" s="5">
        <v>909</v>
      </c>
      <c r="I111" s="5">
        <v>803</v>
      </c>
      <c r="J111" s="5">
        <v>315</v>
      </c>
      <c r="K111" s="5">
        <v>250</v>
      </c>
      <c r="L111" s="5">
        <v>140</v>
      </c>
      <c r="M111" s="5">
        <v>17</v>
      </c>
      <c r="N111" s="5">
        <v>635</v>
      </c>
      <c r="O111" s="6"/>
      <c r="P111" s="6">
        <f t="shared" si="11"/>
        <v>1099</v>
      </c>
      <c r="Q111" s="6">
        <f t="shared" si="12"/>
        <v>250</v>
      </c>
      <c r="R111" s="6">
        <f t="shared" si="13"/>
        <v>23</v>
      </c>
      <c r="S111" s="6">
        <f t="shared" si="14"/>
        <v>23</v>
      </c>
      <c r="T111" s="6">
        <f t="shared" si="15"/>
        <v>3728</v>
      </c>
      <c r="U111" s="6"/>
      <c r="V111" s="6"/>
      <c r="W111" s="5"/>
      <c r="X111" s="5"/>
      <c r="Y111" s="5"/>
      <c r="Z111" s="6">
        <f t="shared" si="16"/>
        <v>3728</v>
      </c>
    </row>
    <row r="112" spans="2:26">
      <c r="B112" s="4" t="s">
        <v>338</v>
      </c>
      <c r="C112" s="4" t="s">
        <v>339</v>
      </c>
      <c r="D112" s="4" t="s">
        <v>340</v>
      </c>
      <c r="E112" s="4" t="s">
        <v>25</v>
      </c>
      <c r="F112" s="5">
        <v>798</v>
      </c>
      <c r="G112" s="5">
        <v>65</v>
      </c>
      <c r="H112" s="5">
        <v>929</v>
      </c>
      <c r="I112" s="5">
        <v>930</v>
      </c>
      <c r="J112" s="5">
        <v>315</v>
      </c>
      <c r="K112" s="6"/>
      <c r="L112" s="5">
        <v>190</v>
      </c>
      <c r="M112" s="5">
        <v>17</v>
      </c>
      <c r="N112" s="5">
        <v>635</v>
      </c>
      <c r="O112" s="6"/>
      <c r="P112" s="6">
        <f t="shared" si="11"/>
        <v>1184</v>
      </c>
      <c r="Q112" s="6">
        <f t="shared" si="12"/>
        <v>0</v>
      </c>
      <c r="R112" s="6">
        <f t="shared" si="13"/>
        <v>0</v>
      </c>
      <c r="S112" s="6">
        <f t="shared" si="14"/>
        <v>0</v>
      </c>
      <c r="T112" s="6">
        <f t="shared" si="15"/>
        <v>3879</v>
      </c>
      <c r="U112" s="6"/>
      <c r="V112" s="6"/>
      <c r="W112" s="5"/>
      <c r="X112" s="5"/>
      <c r="Y112" s="5"/>
      <c r="Z112" s="6">
        <f t="shared" si="16"/>
        <v>3879</v>
      </c>
    </row>
    <row r="113" spans="2:26">
      <c r="B113" s="4" t="s">
        <v>341</v>
      </c>
      <c r="C113" s="4" t="s">
        <v>342</v>
      </c>
      <c r="D113" s="4" t="s">
        <v>343</v>
      </c>
      <c r="E113" s="4" t="s">
        <v>25</v>
      </c>
      <c r="F113" s="5">
        <v>557</v>
      </c>
      <c r="G113" s="5">
        <v>50</v>
      </c>
      <c r="H113" s="5">
        <v>909</v>
      </c>
      <c r="I113" s="5">
        <v>803</v>
      </c>
      <c r="J113" s="5">
        <v>315</v>
      </c>
      <c r="K113" s="6"/>
      <c r="L113" s="5">
        <v>140</v>
      </c>
      <c r="M113" s="5">
        <v>17</v>
      </c>
      <c r="N113" s="5">
        <v>635</v>
      </c>
      <c r="O113" s="6"/>
      <c r="P113" s="6">
        <f t="shared" si="11"/>
        <v>1099</v>
      </c>
      <c r="Q113" s="6">
        <f t="shared" si="12"/>
        <v>0</v>
      </c>
      <c r="R113" s="6">
        <f t="shared" si="13"/>
        <v>0</v>
      </c>
      <c r="S113" s="6">
        <f t="shared" si="14"/>
        <v>0</v>
      </c>
      <c r="T113" s="6">
        <f t="shared" si="15"/>
        <v>3426</v>
      </c>
      <c r="U113" s="6"/>
      <c r="V113" s="6"/>
      <c r="W113" s="5"/>
      <c r="X113" s="5"/>
      <c r="Y113" s="5"/>
      <c r="Z113" s="6">
        <f t="shared" si="16"/>
        <v>3426</v>
      </c>
    </row>
    <row r="114" spans="2:26">
      <c r="B114" s="4" t="s">
        <v>344</v>
      </c>
      <c r="C114" s="4" t="s">
        <v>345</v>
      </c>
      <c r="D114" s="4" t="s">
        <v>346</v>
      </c>
      <c r="E114" s="4" t="s">
        <v>25</v>
      </c>
      <c r="F114" s="5">
        <v>563</v>
      </c>
      <c r="G114" s="5">
        <v>50</v>
      </c>
      <c r="H114" s="5">
        <v>909</v>
      </c>
      <c r="I114" s="5">
        <v>803</v>
      </c>
      <c r="J114" s="5">
        <v>315</v>
      </c>
      <c r="K114" s="5">
        <v>200</v>
      </c>
      <c r="L114" s="5">
        <v>140</v>
      </c>
      <c r="M114" s="5">
        <v>17</v>
      </c>
      <c r="N114" s="5">
        <v>635</v>
      </c>
      <c r="O114" s="5">
        <v>101</v>
      </c>
      <c r="P114" s="6">
        <f t="shared" si="11"/>
        <v>1099</v>
      </c>
      <c r="Q114" s="6">
        <f t="shared" si="12"/>
        <v>301</v>
      </c>
      <c r="R114" s="6">
        <f t="shared" si="13"/>
        <v>27</v>
      </c>
      <c r="S114" s="6">
        <f t="shared" si="14"/>
        <v>27</v>
      </c>
      <c r="T114" s="6">
        <f t="shared" si="15"/>
        <v>3787</v>
      </c>
      <c r="U114" s="6"/>
      <c r="V114" s="6"/>
      <c r="W114" s="5"/>
      <c r="X114" s="5"/>
      <c r="Y114" s="5"/>
      <c r="Z114" s="6">
        <f t="shared" si="16"/>
        <v>3787</v>
      </c>
    </row>
    <row r="115" spans="2:26">
      <c r="B115" s="4" t="s">
        <v>347</v>
      </c>
      <c r="C115" s="4" t="s">
        <v>348</v>
      </c>
      <c r="D115" s="4" t="s">
        <v>349</v>
      </c>
      <c r="E115" s="4" t="s">
        <v>25</v>
      </c>
      <c r="F115" s="5">
        <v>837</v>
      </c>
      <c r="G115" s="5">
        <v>65</v>
      </c>
      <c r="H115" s="5">
        <v>929</v>
      </c>
      <c r="I115" s="5">
        <v>930</v>
      </c>
      <c r="J115" s="5">
        <v>315</v>
      </c>
      <c r="K115" s="6"/>
      <c r="L115" s="5">
        <v>190</v>
      </c>
      <c r="M115" s="5">
        <v>17</v>
      </c>
      <c r="N115" s="5">
        <v>635</v>
      </c>
      <c r="O115" s="6"/>
      <c r="P115" s="6">
        <f t="shared" si="11"/>
        <v>1184</v>
      </c>
      <c r="Q115" s="6">
        <f t="shared" si="12"/>
        <v>0</v>
      </c>
      <c r="R115" s="6">
        <f t="shared" si="13"/>
        <v>0</v>
      </c>
      <c r="S115" s="6">
        <f t="shared" si="14"/>
        <v>0</v>
      </c>
      <c r="T115" s="6">
        <f t="shared" si="15"/>
        <v>3918</v>
      </c>
      <c r="U115" s="5">
        <v>-20731</v>
      </c>
      <c r="V115" s="6"/>
      <c r="W115" s="5"/>
      <c r="X115" s="5"/>
      <c r="Y115" s="5"/>
      <c r="Z115" s="6">
        <f t="shared" si="16"/>
        <v>-16813</v>
      </c>
    </row>
    <row r="116" spans="2:26">
      <c r="B116" s="4" t="s">
        <v>350</v>
      </c>
      <c r="C116" s="4" t="s">
        <v>351</v>
      </c>
      <c r="D116" s="4" t="s">
        <v>352</v>
      </c>
      <c r="E116" s="4" t="s">
        <v>25</v>
      </c>
      <c r="F116" s="5">
        <v>584</v>
      </c>
      <c r="G116" s="5">
        <v>50</v>
      </c>
      <c r="H116" s="5">
        <v>909</v>
      </c>
      <c r="I116" s="5">
        <v>803</v>
      </c>
      <c r="J116" s="5">
        <v>315</v>
      </c>
      <c r="K116" s="5">
        <v>300</v>
      </c>
      <c r="L116" s="5">
        <v>140</v>
      </c>
      <c r="M116" s="5">
        <v>17</v>
      </c>
      <c r="N116" s="5">
        <v>635</v>
      </c>
      <c r="O116" s="6"/>
      <c r="P116" s="6">
        <f t="shared" si="11"/>
        <v>1099</v>
      </c>
      <c r="Q116" s="6">
        <f t="shared" si="12"/>
        <v>300</v>
      </c>
      <c r="R116" s="6">
        <f t="shared" si="13"/>
        <v>27</v>
      </c>
      <c r="S116" s="6">
        <f t="shared" si="14"/>
        <v>27</v>
      </c>
      <c r="T116" s="6">
        <f t="shared" si="15"/>
        <v>3807</v>
      </c>
      <c r="U116" s="6"/>
      <c r="V116" s="6"/>
      <c r="W116" s="5"/>
      <c r="X116" s="5"/>
      <c r="Y116" s="5"/>
      <c r="Z116" s="6">
        <f t="shared" si="16"/>
        <v>3807</v>
      </c>
    </row>
    <row r="117" spans="2:26">
      <c r="B117" s="4" t="s">
        <v>353</v>
      </c>
      <c r="C117" s="4" t="s">
        <v>354</v>
      </c>
      <c r="D117" s="4" t="s">
        <v>355</v>
      </c>
      <c r="E117" s="4" t="s">
        <v>25</v>
      </c>
      <c r="F117" s="5">
        <v>591</v>
      </c>
      <c r="G117" s="5">
        <v>50</v>
      </c>
      <c r="H117" s="5">
        <v>909</v>
      </c>
      <c r="I117" s="5">
        <v>803</v>
      </c>
      <c r="J117" s="5">
        <v>315</v>
      </c>
      <c r="K117" s="5">
        <v>100</v>
      </c>
      <c r="L117" s="5">
        <v>140</v>
      </c>
      <c r="M117" s="5">
        <v>17</v>
      </c>
      <c r="N117" s="5">
        <v>635</v>
      </c>
      <c r="O117" s="6"/>
      <c r="P117" s="6">
        <f t="shared" si="11"/>
        <v>1099</v>
      </c>
      <c r="Q117" s="6">
        <f t="shared" si="12"/>
        <v>100</v>
      </c>
      <c r="R117" s="6">
        <f t="shared" si="13"/>
        <v>9</v>
      </c>
      <c r="S117" s="6">
        <f t="shared" si="14"/>
        <v>9</v>
      </c>
      <c r="T117" s="6">
        <f t="shared" si="15"/>
        <v>3578</v>
      </c>
      <c r="U117" s="5">
        <v>-252</v>
      </c>
      <c r="V117" s="6"/>
      <c r="W117" s="5"/>
      <c r="X117" s="5"/>
      <c r="Y117" s="5"/>
      <c r="Z117" s="6">
        <f t="shared" si="16"/>
        <v>3326</v>
      </c>
    </row>
    <row r="118" spans="2:26">
      <c r="B118" s="4" t="s">
        <v>356</v>
      </c>
      <c r="C118" s="4" t="s">
        <v>357</v>
      </c>
      <c r="D118" s="4" t="s">
        <v>358</v>
      </c>
      <c r="E118" s="4" t="s">
        <v>25</v>
      </c>
      <c r="F118" s="5">
        <v>837</v>
      </c>
      <c r="G118" s="5">
        <v>65</v>
      </c>
      <c r="H118" s="5">
        <v>929</v>
      </c>
      <c r="I118" s="5">
        <v>930</v>
      </c>
      <c r="J118" s="5">
        <v>315</v>
      </c>
      <c r="K118" s="6"/>
      <c r="L118" s="5">
        <v>190</v>
      </c>
      <c r="M118" s="5">
        <v>17</v>
      </c>
      <c r="N118" s="5">
        <v>635</v>
      </c>
      <c r="O118" s="6"/>
      <c r="P118" s="6">
        <f t="shared" si="11"/>
        <v>1184</v>
      </c>
      <c r="Q118" s="6">
        <f t="shared" si="12"/>
        <v>0</v>
      </c>
      <c r="R118" s="6">
        <f t="shared" si="13"/>
        <v>0</v>
      </c>
      <c r="S118" s="6">
        <f t="shared" si="14"/>
        <v>0</v>
      </c>
      <c r="T118" s="6">
        <f t="shared" si="15"/>
        <v>3918</v>
      </c>
      <c r="U118" s="6"/>
      <c r="V118" s="6"/>
      <c r="W118" s="5"/>
      <c r="X118" s="5"/>
      <c r="Y118" s="5"/>
      <c r="Z118" s="6">
        <f t="shared" si="16"/>
        <v>3918</v>
      </c>
    </row>
    <row r="119" spans="2:26">
      <c r="B119" s="4" t="s">
        <v>359</v>
      </c>
      <c r="C119" s="4" t="s">
        <v>360</v>
      </c>
      <c r="D119" s="4" t="s">
        <v>361</v>
      </c>
      <c r="E119" s="4" t="s">
        <v>25</v>
      </c>
      <c r="F119" s="5">
        <v>584</v>
      </c>
      <c r="G119" s="5">
        <v>50</v>
      </c>
      <c r="H119" s="5">
        <v>909</v>
      </c>
      <c r="I119" s="5">
        <v>803</v>
      </c>
      <c r="J119" s="5">
        <v>315</v>
      </c>
      <c r="K119" s="5">
        <v>200</v>
      </c>
      <c r="L119" s="5">
        <v>140</v>
      </c>
      <c r="M119" s="5">
        <v>17</v>
      </c>
      <c r="N119" s="5">
        <v>635</v>
      </c>
      <c r="O119" s="5">
        <v>101</v>
      </c>
      <c r="P119" s="6">
        <f t="shared" si="11"/>
        <v>1099</v>
      </c>
      <c r="Q119" s="6">
        <f t="shared" si="12"/>
        <v>301</v>
      </c>
      <c r="R119" s="6">
        <f t="shared" si="13"/>
        <v>27</v>
      </c>
      <c r="S119" s="6">
        <f t="shared" si="14"/>
        <v>27</v>
      </c>
      <c r="T119" s="6">
        <f t="shared" si="15"/>
        <v>3808</v>
      </c>
      <c r="U119" s="5">
        <v>-725</v>
      </c>
      <c r="V119" s="6"/>
      <c r="W119" s="5"/>
      <c r="X119" s="5"/>
      <c r="Y119" s="5"/>
      <c r="Z119" s="6">
        <f t="shared" si="16"/>
        <v>3083</v>
      </c>
    </row>
    <row r="120" spans="2:26">
      <c r="B120" s="4" t="s">
        <v>362</v>
      </c>
      <c r="C120" s="4" t="s">
        <v>363</v>
      </c>
      <c r="D120" s="13" t="s">
        <v>364</v>
      </c>
      <c r="E120" s="13" t="s">
        <v>25</v>
      </c>
      <c r="F120" s="14">
        <v>591</v>
      </c>
      <c r="G120" s="14">
        <v>50</v>
      </c>
      <c r="H120" s="14">
        <v>909</v>
      </c>
      <c r="I120" s="14">
        <v>803</v>
      </c>
      <c r="J120" s="14">
        <v>315</v>
      </c>
      <c r="K120" s="15"/>
      <c r="L120" s="14">
        <v>140</v>
      </c>
      <c r="M120" s="14">
        <v>17</v>
      </c>
      <c r="N120" s="14">
        <v>635</v>
      </c>
      <c r="O120" s="14">
        <v>0</v>
      </c>
      <c r="P120" s="15">
        <f t="shared" si="11"/>
        <v>1099</v>
      </c>
      <c r="Q120" s="15">
        <f t="shared" si="12"/>
        <v>0</v>
      </c>
      <c r="R120" s="15">
        <f t="shared" si="13"/>
        <v>0</v>
      </c>
      <c r="S120" s="15">
        <f t="shared" si="14"/>
        <v>0</v>
      </c>
      <c r="T120" s="15">
        <f t="shared" si="15"/>
        <v>3460</v>
      </c>
      <c r="U120" s="14">
        <v>-3000</v>
      </c>
      <c r="V120" s="15"/>
      <c r="W120" s="14"/>
      <c r="X120" s="14"/>
      <c r="Y120" s="14"/>
      <c r="Z120" s="15">
        <f t="shared" si="16"/>
        <v>460</v>
      </c>
    </row>
    <row r="121" spans="2:26">
      <c r="B121" s="4" t="s">
        <v>365</v>
      </c>
      <c r="C121" s="4" t="s">
        <v>366</v>
      </c>
      <c r="D121" s="4" t="s">
        <v>367</v>
      </c>
      <c r="E121" s="4" t="s">
        <v>25</v>
      </c>
      <c r="F121" s="5">
        <v>837</v>
      </c>
      <c r="G121" s="5">
        <v>65</v>
      </c>
      <c r="H121" s="5">
        <v>929</v>
      </c>
      <c r="I121" s="5">
        <v>930</v>
      </c>
      <c r="J121" s="5">
        <v>315</v>
      </c>
      <c r="K121" s="6"/>
      <c r="L121" s="5">
        <v>190</v>
      </c>
      <c r="M121" s="5">
        <v>17</v>
      </c>
      <c r="N121" s="5">
        <v>635</v>
      </c>
      <c r="O121" s="6"/>
      <c r="P121" s="6">
        <f t="shared" si="11"/>
        <v>1184</v>
      </c>
      <c r="Q121" s="6">
        <f t="shared" si="12"/>
        <v>0</v>
      </c>
      <c r="R121" s="6">
        <f t="shared" si="13"/>
        <v>0</v>
      </c>
      <c r="S121" s="6">
        <f t="shared" si="14"/>
        <v>0</v>
      </c>
      <c r="T121" s="6">
        <f t="shared" si="15"/>
        <v>3918</v>
      </c>
      <c r="U121" s="6"/>
      <c r="V121" s="6"/>
      <c r="W121" s="5"/>
      <c r="X121" s="5"/>
      <c r="Y121" s="5"/>
      <c r="Z121" s="6">
        <f t="shared" si="16"/>
        <v>3918</v>
      </c>
    </row>
    <row r="122" spans="2:26">
      <c r="B122" s="4" t="s">
        <v>368</v>
      </c>
      <c r="C122" s="4" t="s">
        <v>369</v>
      </c>
      <c r="D122" s="4" t="s">
        <v>370</v>
      </c>
      <c r="E122" s="4" t="s">
        <v>25</v>
      </c>
      <c r="F122" s="5">
        <v>584</v>
      </c>
      <c r="G122" s="5">
        <v>50</v>
      </c>
      <c r="H122" s="5">
        <v>909</v>
      </c>
      <c r="I122" s="5">
        <v>803</v>
      </c>
      <c r="J122" s="5">
        <v>315</v>
      </c>
      <c r="K122" s="5">
        <v>300</v>
      </c>
      <c r="L122" s="5">
        <v>140</v>
      </c>
      <c r="M122" s="5">
        <v>17</v>
      </c>
      <c r="N122" s="5">
        <v>635</v>
      </c>
      <c r="O122" s="6"/>
      <c r="P122" s="6">
        <f t="shared" si="11"/>
        <v>1099</v>
      </c>
      <c r="Q122" s="6">
        <f t="shared" si="12"/>
        <v>300</v>
      </c>
      <c r="R122" s="6">
        <f t="shared" si="13"/>
        <v>27</v>
      </c>
      <c r="S122" s="6">
        <f t="shared" si="14"/>
        <v>27</v>
      </c>
      <c r="T122" s="6">
        <f t="shared" si="15"/>
        <v>3807</v>
      </c>
      <c r="U122" s="6"/>
      <c r="V122" s="6"/>
      <c r="W122" s="5"/>
      <c r="X122" s="5"/>
      <c r="Y122" s="5"/>
      <c r="Z122" s="6">
        <f t="shared" si="16"/>
        <v>3807</v>
      </c>
    </row>
    <row r="123" spans="2:26">
      <c r="B123" s="4" t="s">
        <v>371</v>
      </c>
      <c r="C123" s="4" t="s">
        <v>372</v>
      </c>
      <c r="D123" s="4" t="s">
        <v>373</v>
      </c>
      <c r="E123" s="4" t="s">
        <v>25</v>
      </c>
      <c r="F123" s="5">
        <v>591</v>
      </c>
      <c r="G123" s="5">
        <v>50</v>
      </c>
      <c r="H123" s="5">
        <v>909</v>
      </c>
      <c r="I123" s="5">
        <v>803</v>
      </c>
      <c r="J123" s="5">
        <v>315</v>
      </c>
      <c r="K123" s="5">
        <v>400</v>
      </c>
      <c r="L123" s="5">
        <v>140</v>
      </c>
      <c r="M123" s="5">
        <v>17</v>
      </c>
      <c r="N123" s="5">
        <v>635</v>
      </c>
      <c r="O123" s="5">
        <v>101</v>
      </c>
      <c r="P123" s="6">
        <f t="shared" si="11"/>
        <v>1099</v>
      </c>
      <c r="Q123" s="6">
        <f t="shared" si="12"/>
        <v>501</v>
      </c>
      <c r="R123" s="6">
        <f t="shared" si="13"/>
        <v>45</v>
      </c>
      <c r="S123" s="6">
        <f t="shared" si="14"/>
        <v>45</v>
      </c>
      <c r="T123" s="6">
        <f t="shared" si="15"/>
        <v>4051</v>
      </c>
      <c r="U123" s="6"/>
      <c r="V123" s="6"/>
      <c r="W123" s="5"/>
      <c r="X123" s="5"/>
      <c r="Y123" s="5"/>
      <c r="Z123" s="6">
        <f t="shared" si="16"/>
        <v>4051</v>
      </c>
    </row>
    <row r="124" spans="2:26">
      <c r="B124" s="4" t="s">
        <v>374</v>
      </c>
      <c r="C124" s="4" t="s">
        <v>375</v>
      </c>
      <c r="D124" s="4" t="s">
        <v>376</v>
      </c>
      <c r="E124" s="4" t="s">
        <v>25</v>
      </c>
      <c r="F124" s="5">
        <v>837</v>
      </c>
      <c r="G124" s="5">
        <v>65</v>
      </c>
      <c r="H124" s="5">
        <v>929</v>
      </c>
      <c r="I124" s="5">
        <v>930</v>
      </c>
      <c r="J124" s="5">
        <v>315</v>
      </c>
      <c r="K124" s="6"/>
      <c r="L124" s="5">
        <v>190</v>
      </c>
      <c r="M124" s="5">
        <v>17</v>
      </c>
      <c r="N124" s="5">
        <v>635</v>
      </c>
      <c r="O124" s="6"/>
      <c r="P124" s="6">
        <f t="shared" si="11"/>
        <v>1184</v>
      </c>
      <c r="Q124" s="6">
        <f t="shared" si="12"/>
        <v>0</v>
      </c>
      <c r="R124" s="6">
        <f t="shared" si="13"/>
        <v>0</v>
      </c>
      <c r="S124" s="6">
        <f t="shared" si="14"/>
        <v>0</v>
      </c>
      <c r="T124" s="6">
        <f t="shared" si="15"/>
        <v>3918</v>
      </c>
      <c r="U124" s="6"/>
      <c r="V124" s="6"/>
      <c r="W124" s="5"/>
      <c r="X124" s="5"/>
      <c r="Y124" s="5"/>
      <c r="Z124" s="6">
        <f t="shared" si="16"/>
        <v>3918</v>
      </c>
    </row>
    <row r="125" spans="2:26">
      <c r="B125" s="4" t="s">
        <v>377</v>
      </c>
      <c r="C125" s="4" t="s">
        <v>378</v>
      </c>
      <c r="D125" s="4" t="s">
        <v>379</v>
      </c>
      <c r="E125" s="4" t="s">
        <v>25</v>
      </c>
      <c r="F125" s="5">
        <v>584</v>
      </c>
      <c r="G125" s="5">
        <v>50</v>
      </c>
      <c r="H125" s="5">
        <v>909</v>
      </c>
      <c r="I125" s="5">
        <v>803</v>
      </c>
      <c r="J125" s="5">
        <v>315</v>
      </c>
      <c r="K125" s="6"/>
      <c r="L125" s="5">
        <v>140</v>
      </c>
      <c r="M125" s="5">
        <v>17</v>
      </c>
      <c r="N125" s="5">
        <v>635</v>
      </c>
      <c r="O125" s="5">
        <v>101</v>
      </c>
      <c r="P125" s="6">
        <f t="shared" si="11"/>
        <v>1099</v>
      </c>
      <c r="Q125" s="6">
        <f t="shared" si="12"/>
        <v>101</v>
      </c>
      <c r="R125" s="6">
        <f t="shared" si="13"/>
        <v>9</v>
      </c>
      <c r="S125" s="6">
        <f t="shared" si="14"/>
        <v>9</v>
      </c>
      <c r="T125" s="6">
        <f t="shared" si="15"/>
        <v>3572</v>
      </c>
      <c r="U125" s="6"/>
      <c r="V125" s="6"/>
      <c r="W125" s="5"/>
      <c r="X125" s="5"/>
      <c r="Y125" s="5"/>
      <c r="Z125" s="6">
        <f t="shared" si="16"/>
        <v>3572</v>
      </c>
    </row>
    <row r="126" spans="2:26">
      <c r="B126" s="4" t="s">
        <v>380</v>
      </c>
      <c r="C126" s="4" t="s">
        <v>381</v>
      </c>
      <c r="D126" s="4" t="s">
        <v>382</v>
      </c>
      <c r="E126" s="4" t="s">
        <v>25</v>
      </c>
      <c r="F126" s="5">
        <v>591</v>
      </c>
      <c r="G126" s="5">
        <v>50</v>
      </c>
      <c r="H126" s="5">
        <v>909</v>
      </c>
      <c r="I126" s="5">
        <v>803</v>
      </c>
      <c r="J126" s="5">
        <v>315</v>
      </c>
      <c r="K126" s="6"/>
      <c r="L126" s="5">
        <v>140</v>
      </c>
      <c r="M126" s="5">
        <v>17</v>
      </c>
      <c r="N126" s="5">
        <v>635</v>
      </c>
      <c r="O126" s="5">
        <v>101</v>
      </c>
      <c r="P126" s="6">
        <f t="shared" si="11"/>
        <v>1099</v>
      </c>
      <c r="Q126" s="6">
        <f t="shared" si="12"/>
        <v>101</v>
      </c>
      <c r="R126" s="6">
        <f t="shared" si="13"/>
        <v>9</v>
      </c>
      <c r="S126" s="6">
        <f t="shared" si="14"/>
        <v>9</v>
      </c>
      <c r="T126" s="6">
        <f t="shared" si="15"/>
        <v>3579</v>
      </c>
      <c r="U126" s="5">
        <v>2938</v>
      </c>
      <c r="V126" s="6"/>
      <c r="W126" s="5">
        <f t="shared" si="17"/>
        <v>52</v>
      </c>
      <c r="X126" s="5">
        <f t="shared" ref="X126:X127" si="18">ROUND(W126*9/100,0)</f>
        <v>5</v>
      </c>
      <c r="Y126" s="5">
        <f t="shared" ref="Y126:Y127" si="19">X126</f>
        <v>5</v>
      </c>
      <c r="Z126" s="6">
        <f t="shared" si="16"/>
        <v>6579</v>
      </c>
    </row>
    <row r="127" spans="2:26">
      <c r="B127" s="4" t="s">
        <v>383</v>
      </c>
      <c r="C127" s="4" t="s">
        <v>384</v>
      </c>
      <c r="D127" s="4" t="s">
        <v>385</v>
      </c>
      <c r="E127" s="4" t="s">
        <v>25</v>
      </c>
      <c r="F127" s="5">
        <v>558</v>
      </c>
      <c r="G127" s="5">
        <v>50</v>
      </c>
      <c r="H127" s="5">
        <v>909</v>
      </c>
      <c r="I127" s="5">
        <v>803</v>
      </c>
      <c r="J127" s="5">
        <v>315</v>
      </c>
      <c r="K127" s="5">
        <v>200</v>
      </c>
      <c r="L127" s="5">
        <v>140</v>
      </c>
      <c r="M127" s="5">
        <v>17</v>
      </c>
      <c r="N127" s="5">
        <v>635</v>
      </c>
      <c r="O127" s="6"/>
      <c r="P127" s="6">
        <f t="shared" si="11"/>
        <v>1099</v>
      </c>
      <c r="Q127" s="6">
        <f t="shared" si="12"/>
        <v>200</v>
      </c>
      <c r="R127" s="6">
        <f t="shared" si="13"/>
        <v>18</v>
      </c>
      <c r="S127" s="6">
        <f t="shared" si="14"/>
        <v>18</v>
      </c>
      <c r="T127" s="6">
        <f t="shared" si="15"/>
        <v>3663</v>
      </c>
      <c r="U127" s="5">
        <v>3022</v>
      </c>
      <c r="V127" s="6"/>
      <c r="W127" s="5">
        <f t="shared" si="17"/>
        <v>54</v>
      </c>
      <c r="X127" s="5">
        <f t="shared" si="18"/>
        <v>5</v>
      </c>
      <c r="Y127" s="5">
        <f t="shared" si="19"/>
        <v>5</v>
      </c>
      <c r="Z127" s="6">
        <f t="shared" si="16"/>
        <v>6749</v>
      </c>
    </row>
    <row r="128" spans="2:26">
      <c r="B128" s="4" t="s">
        <v>386</v>
      </c>
      <c r="C128" s="4" t="s">
        <v>387</v>
      </c>
      <c r="D128" s="4" t="s">
        <v>388</v>
      </c>
      <c r="E128" s="4" t="s">
        <v>25</v>
      </c>
      <c r="F128" s="5">
        <v>559</v>
      </c>
      <c r="G128" s="5">
        <v>50</v>
      </c>
      <c r="H128" s="5">
        <v>909</v>
      </c>
      <c r="I128" s="5">
        <v>803</v>
      </c>
      <c r="J128" s="5">
        <v>315</v>
      </c>
      <c r="K128" s="6"/>
      <c r="L128" s="5">
        <v>140</v>
      </c>
      <c r="M128" s="5">
        <v>17</v>
      </c>
      <c r="N128" s="5">
        <v>635</v>
      </c>
      <c r="O128" s="6"/>
      <c r="P128" s="6">
        <f t="shared" si="11"/>
        <v>1099</v>
      </c>
      <c r="Q128" s="6">
        <f t="shared" si="12"/>
        <v>0</v>
      </c>
      <c r="R128" s="6">
        <f t="shared" si="13"/>
        <v>0</v>
      </c>
      <c r="S128" s="6">
        <f t="shared" si="14"/>
        <v>0</v>
      </c>
      <c r="T128" s="6">
        <f t="shared" si="15"/>
        <v>3428</v>
      </c>
      <c r="U128" s="6"/>
      <c r="V128" s="6"/>
      <c r="W128" s="5"/>
      <c r="X128" s="5"/>
      <c r="Y128" s="5"/>
      <c r="Z128" s="6">
        <f t="shared" si="16"/>
        <v>3428</v>
      </c>
    </row>
    <row r="129" spans="2:26">
      <c r="B129" s="4" t="s">
        <v>389</v>
      </c>
      <c r="C129" s="4" t="s">
        <v>390</v>
      </c>
      <c r="D129" s="4" t="s">
        <v>391</v>
      </c>
      <c r="E129" s="4" t="s">
        <v>25</v>
      </c>
      <c r="F129" s="5">
        <v>531</v>
      </c>
      <c r="G129" s="5">
        <v>50</v>
      </c>
      <c r="H129" s="5">
        <v>909</v>
      </c>
      <c r="I129" s="5">
        <v>803</v>
      </c>
      <c r="J129" s="5">
        <v>315</v>
      </c>
      <c r="K129" s="5">
        <v>700</v>
      </c>
      <c r="L129" s="5">
        <v>140</v>
      </c>
      <c r="M129" s="5">
        <v>17</v>
      </c>
      <c r="N129" s="5">
        <v>635</v>
      </c>
      <c r="O129" s="5">
        <v>101</v>
      </c>
      <c r="P129" s="6">
        <f t="shared" si="11"/>
        <v>1099</v>
      </c>
      <c r="Q129" s="6">
        <f t="shared" si="12"/>
        <v>801</v>
      </c>
      <c r="R129" s="6">
        <f t="shared" si="13"/>
        <v>72</v>
      </c>
      <c r="S129" s="6">
        <f t="shared" si="14"/>
        <v>72</v>
      </c>
      <c r="T129" s="6">
        <f t="shared" si="15"/>
        <v>4345</v>
      </c>
      <c r="U129" s="6"/>
      <c r="V129" s="6"/>
      <c r="W129" s="5"/>
      <c r="X129" s="5"/>
      <c r="Y129" s="5"/>
      <c r="Z129" s="6">
        <f t="shared" si="16"/>
        <v>4345</v>
      </c>
    </row>
    <row r="130" spans="2:26">
      <c r="B130" s="4" t="s">
        <v>392</v>
      </c>
      <c r="C130" s="4" t="s">
        <v>393</v>
      </c>
      <c r="D130" s="4" t="s">
        <v>394</v>
      </c>
      <c r="E130" s="4" t="s">
        <v>25</v>
      </c>
      <c r="F130" s="5">
        <v>595</v>
      </c>
      <c r="G130" s="5">
        <v>50</v>
      </c>
      <c r="H130" s="5">
        <v>909</v>
      </c>
      <c r="I130" s="5">
        <v>803</v>
      </c>
      <c r="J130" s="5">
        <v>315</v>
      </c>
      <c r="K130" s="5">
        <v>200</v>
      </c>
      <c r="L130" s="5">
        <v>140</v>
      </c>
      <c r="M130" s="5">
        <v>17</v>
      </c>
      <c r="N130" s="5">
        <v>635</v>
      </c>
      <c r="O130" s="6"/>
      <c r="P130" s="6">
        <f t="shared" si="11"/>
        <v>1099</v>
      </c>
      <c r="Q130" s="6">
        <f t="shared" si="12"/>
        <v>200</v>
      </c>
      <c r="R130" s="6">
        <f t="shared" si="13"/>
        <v>18</v>
      </c>
      <c r="S130" s="6">
        <f t="shared" si="14"/>
        <v>18</v>
      </c>
      <c r="T130" s="6">
        <f t="shared" si="15"/>
        <v>3700</v>
      </c>
      <c r="U130" s="6"/>
      <c r="V130" s="6"/>
      <c r="W130" s="5"/>
      <c r="X130" s="5"/>
      <c r="Y130" s="5"/>
      <c r="Z130" s="6">
        <f t="shared" si="16"/>
        <v>3700</v>
      </c>
    </row>
    <row r="131" spans="2:26">
      <c r="B131" s="4" t="s">
        <v>395</v>
      </c>
      <c r="C131" s="4" t="s">
        <v>396</v>
      </c>
      <c r="D131" s="4" t="s">
        <v>397</v>
      </c>
      <c r="E131" s="4" t="s">
        <v>25</v>
      </c>
      <c r="F131" s="5">
        <v>558</v>
      </c>
      <c r="G131" s="5">
        <v>50</v>
      </c>
      <c r="H131" s="5">
        <v>909</v>
      </c>
      <c r="I131" s="5">
        <v>803</v>
      </c>
      <c r="J131" s="5">
        <v>315</v>
      </c>
      <c r="K131" s="6"/>
      <c r="L131" s="5">
        <v>140</v>
      </c>
      <c r="M131" s="5">
        <v>17</v>
      </c>
      <c r="N131" s="5">
        <v>635</v>
      </c>
      <c r="O131" s="6"/>
      <c r="P131" s="6">
        <f t="shared" si="11"/>
        <v>1099</v>
      </c>
      <c r="Q131" s="6">
        <f t="shared" si="12"/>
        <v>0</v>
      </c>
      <c r="R131" s="6">
        <f t="shared" si="13"/>
        <v>0</v>
      </c>
      <c r="S131" s="6">
        <f t="shared" si="14"/>
        <v>0</v>
      </c>
      <c r="T131" s="6">
        <f t="shared" si="15"/>
        <v>3427</v>
      </c>
      <c r="U131" s="6"/>
      <c r="V131" s="6"/>
      <c r="W131" s="5"/>
      <c r="X131" s="5"/>
      <c r="Y131" s="5"/>
      <c r="Z131" s="6">
        <f t="shared" si="16"/>
        <v>3427</v>
      </c>
    </row>
    <row r="132" spans="2:26">
      <c r="B132" s="4" t="s">
        <v>398</v>
      </c>
      <c r="C132" s="4" t="s">
        <v>399</v>
      </c>
      <c r="D132" s="4" t="s">
        <v>400</v>
      </c>
      <c r="E132" s="4" t="s">
        <v>25</v>
      </c>
      <c r="F132" s="5">
        <v>559</v>
      </c>
      <c r="G132" s="5">
        <v>50</v>
      </c>
      <c r="H132" s="5">
        <v>909</v>
      </c>
      <c r="I132" s="5">
        <v>803</v>
      </c>
      <c r="J132" s="5">
        <v>315</v>
      </c>
      <c r="K132" s="5">
        <v>650</v>
      </c>
      <c r="L132" s="5">
        <v>140</v>
      </c>
      <c r="M132" s="5">
        <v>17</v>
      </c>
      <c r="N132" s="5">
        <v>635</v>
      </c>
      <c r="O132" s="6"/>
      <c r="P132" s="6">
        <f t="shared" si="11"/>
        <v>1099</v>
      </c>
      <c r="Q132" s="6">
        <f t="shared" si="12"/>
        <v>650</v>
      </c>
      <c r="R132" s="6">
        <f t="shared" si="13"/>
        <v>59</v>
      </c>
      <c r="S132" s="6">
        <f t="shared" si="14"/>
        <v>59</v>
      </c>
      <c r="T132" s="6">
        <f t="shared" si="15"/>
        <v>4196</v>
      </c>
      <c r="U132" s="6"/>
      <c r="V132" s="6"/>
      <c r="W132" s="5"/>
      <c r="X132" s="5"/>
      <c r="Y132" s="5"/>
      <c r="Z132" s="6">
        <f t="shared" si="16"/>
        <v>4196</v>
      </c>
    </row>
    <row r="133" spans="2:26">
      <c r="B133" s="4" t="s">
        <v>401</v>
      </c>
      <c r="C133" s="4" t="s">
        <v>402</v>
      </c>
      <c r="D133" s="4" t="s">
        <v>403</v>
      </c>
      <c r="E133" s="4" t="s">
        <v>25</v>
      </c>
      <c r="F133" s="5">
        <v>531</v>
      </c>
      <c r="G133" s="5">
        <v>50</v>
      </c>
      <c r="H133" s="5">
        <v>909</v>
      </c>
      <c r="I133" s="5">
        <v>803</v>
      </c>
      <c r="J133" s="5">
        <v>315</v>
      </c>
      <c r="K133" s="5">
        <v>200</v>
      </c>
      <c r="L133" s="5">
        <v>140</v>
      </c>
      <c r="M133" s="5">
        <v>17</v>
      </c>
      <c r="N133" s="5">
        <v>635</v>
      </c>
      <c r="O133" s="5">
        <v>101</v>
      </c>
      <c r="P133" s="6">
        <f t="shared" si="11"/>
        <v>1099</v>
      </c>
      <c r="Q133" s="6">
        <f t="shared" si="12"/>
        <v>301</v>
      </c>
      <c r="R133" s="6">
        <f t="shared" si="13"/>
        <v>27</v>
      </c>
      <c r="S133" s="6">
        <f t="shared" si="14"/>
        <v>27</v>
      </c>
      <c r="T133" s="6">
        <f t="shared" si="15"/>
        <v>3755</v>
      </c>
      <c r="U133" s="6"/>
      <c r="V133" s="6"/>
      <c r="W133" s="5"/>
      <c r="X133" s="5"/>
      <c r="Y133" s="5"/>
      <c r="Z133" s="6">
        <f t="shared" si="16"/>
        <v>3755</v>
      </c>
    </row>
    <row r="134" spans="2:26">
      <c r="B134" s="4" t="s">
        <v>404</v>
      </c>
      <c r="C134" s="4" t="s">
        <v>405</v>
      </c>
      <c r="D134" s="4" t="s">
        <v>406</v>
      </c>
      <c r="E134" s="4" t="s">
        <v>25</v>
      </c>
      <c r="F134" s="5">
        <v>595</v>
      </c>
      <c r="G134" s="5">
        <v>50</v>
      </c>
      <c r="H134" s="5">
        <v>909</v>
      </c>
      <c r="I134" s="5">
        <v>803</v>
      </c>
      <c r="J134" s="5">
        <v>315</v>
      </c>
      <c r="K134" s="6"/>
      <c r="L134" s="5">
        <v>140</v>
      </c>
      <c r="M134" s="5">
        <v>17</v>
      </c>
      <c r="N134" s="5">
        <v>635</v>
      </c>
      <c r="O134" s="6"/>
      <c r="P134" s="6">
        <f t="shared" si="11"/>
        <v>1099</v>
      </c>
      <c r="Q134" s="6">
        <f t="shared" si="12"/>
        <v>0</v>
      </c>
      <c r="R134" s="6">
        <f t="shared" si="13"/>
        <v>0</v>
      </c>
      <c r="S134" s="6">
        <f t="shared" si="14"/>
        <v>0</v>
      </c>
      <c r="T134" s="6">
        <f t="shared" si="15"/>
        <v>3464</v>
      </c>
      <c r="U134" s="6"/>
      <c r="V134" s="6"/>
      <c r="W134" s="5"/>
      <c r="X134" s="5"/>
      <c r="Y134" s="5"/>
      <c r="Z134" s="6">
        <f t="shared" si="16"/>
        <v>3464</v>
      </c>
    </row>
    <row r="135" spans="2:26">
      <c r="B135" s="4" t="s">
        <v>407</v>
      </c>
      <c r="C135" s="4" t="s">
        <v>408</v>
      </c>
      <c r="D135" s="4" t="s">
        <v>409</v>
      </c>
      <c r="E135" s="4" t="s">
        <v>25</v>
      </c>
      <c r="F135" s="5">
        <v>558</v>
      </c>
      <c r="G135" s="5">
        <v>50</v>
      </c>
      <c r="H135" s="5">
        <v>909</v>
      </c>
      <c r="I135" s="5">
        <v>803</v>
      </c>
      <c r="J135" s="5">
        <v>315</v>
      </c>
      <c r="K135" s="6"/>
      <c r="L135" s="5">
        <v>140</v>
      </c>
      <c r="M135" s="5">
        <v>17</v>
      </c>
      <c r="N135" s="5">
        <v>635</v>
      </c>
      <c r="O135" s="6"/>
      <c r="P135" s="6">
        <f t="shared" si="11"/>
        <v>1099</v>
      </c>
      <c r="Q135" s="6">
        <f t="shared" si="12"/>
        <v>0</v>
      </c>
      <c r="R135" s="6">
        <f t="shared" si="13"/>
        <v>0</v>
      </c>
      <c r="S135" s="6">
        <f t="shared" si="14"/>
        <v>0</v>
      </c>
      <c r="T135" s="6">
        <f t="shared" si="15"/>
        <v>3427</v>
      </c>
      <c r="U135" s="6"/>
      <c r="V135" s="6"/>
      <c r="W135" s="5"/>
      <c r="X135" s="5"/>
      <c r="Y135" s="5"/>
      <c r="Z135" s="6">
        <f t="shared" si="16"/>
        <v>3427</v>
      </c>
    </row>
    <row r="136" spans="2:26">
      <c r="B136" s="4" t="s">
        <v>410</v>
      </c>
      <c r="C136" s="4" t="s">
        <v>411</v>
      </c>
      <c r="D136" s="4" t="s">
        <v>412</v>
      </c>
      <c r="E136" s="4" t="s">
        <v>25</v>
      </c>
      <c r="F136" s="5">
        <v>559</v>
      </c>
      <c r="G136" s="5">
        <v>50</v>
      </c>
      <c r="H136" s="5">
        <v>909</v>
      </c>
      <c r="I136" s="5">
        <v>803</v>
      </c>
      <c r="J136" s="5">
        <v>315</v>
      </c>
      <c r="K136" s="5">
        <v>300</v>
      </c>
      <c r="L136" s="5">
        <v>140</v>
      </c>
      <c r="M136" s="5">
        <v>17</v>
      </c>
      <c r="N136" s="5">
        <v>635</v>
      </c>
      <c r="O136" s="6"/>
      <c r="P136" s="6">
        <f t="shared" ref="P136:P199" si="20">G136+H136+L136</f>
        <v>1099</v>
      </c>
      <c r="Q136" s="6">
        <f t="shared" ref="Q136:Q199" si="21">K136+O136</f>
        <v>300</v>
      </c>
      <c r="R136" s="6">
        <f t="shared" ref="R136:R199" si="22">ROUND(Q136*9/100,0)</f>
        <v>27</v>
      </c>
      <c r="S136" s="6">
        <f t="shared" ref="S136:S199" si="23">R136</f>
        <v>27</v>
      </c>
      <c r="T136" s="6">
        <f t="shared" ref="T136:T199" si="24">F136+G136+H136+I136+J136+K136+L136+M136+N136+O136+R136+S136</f>
        <v>3782</v>
      </c>
      <c r="U136" s="6"/>
      <c r="V136" s="6"/>
      <c r="W136" s="5"/>
      <c r="X136" s="5"/>
      <c r="Y136" s="5"/>
      <c r="Z136" s="6">
        <f t="shared" ref="Z136:Z199" si="25">T136+U136+V136+W136+X136+Y136</f>
        <v>3782</v>
      </c>
    </row>
    <row r="137" spans="2:26">
      <c r="B137" s="4" t="s">
        <v>413</v>
      </c>
      <c r="C137" s="4" t="s">
        <v>414</v>
      </c>
      <c r="D137" s="4" t="s">
        <v>415</v>
      </c>
      <c r="E137" s="4" t="s">
        <v>25</v>
      </c>
      <c r="F137" s="5">
        <v>531</v>
      </c>
      <c r="G137" s="5">
        <v>50</v>
      </c>
      <c r="H137" s="5">
        <v>909</v>
      </c>
      <c r="I137" s="5">
        <v>803</v>
      </c>
      <c r="J137" s="5">
        <v>315</v>
      </c>
      <c r="K137" s="5">
        <v>300</v>
      </c>
      <c r="L137" s="5">
        <v>140</v>
      </c>
      <c r="M137" s="5">
        <v>17</v>
      </c>
      <c r="N137" s="5">
        <v>635</v>
      </c>
      <c r="O137" s="6"/>
      <c r="P137" s="6">
        <f t="shared" si="20"/>
        <v>1099</v>
      </c>
      <c r="Q137" s="6">
        <f t="shared" si="21"/>
        <v>300</v>
      </c>
      <c r="R137" s="6">
        <f t="shared" si="22"/>
        <v>27</v>
      </c>
      <c r="S137" s="6">
        <f t="shared" si="23"/>
        <v>27</v>
      </c>
      <c r="T137" s="6">
        <f t="shared" si="24"/>
        <v>3754</v>
      </c>
      <c r="U137" s="5">
        <v>-139</v>
      </c>
      <c r="V137" s="6"/>
      <c r="W137" s="5"/>
      <c r="X137" s="5"/>
      <c r="Y137" s="5"/>
      <c r="Z137" s="6">
        <f t="shared" si="25"/>
        <v>3615</v>
      </c>
    </row>
    <row r="138" spans="2:26">
      <c r="B138" s="4" t="s">
        <v>416</v>
      </c>
      <c r="C138" s="4" t="s">
        <v>417</v>
      </c>
      <c r="D138" s="4" t="s">
        <v>418</v>
      </c>
      <c r="E138" s="4" t="s">
        <v>25</v>
      </c>
      <c r="F138" s="5">
        <v>595</v>
      </c>
      <c r="G138" s="5">
        <v>50</v>
      </c>
      <c r="H138" s="5">
        <v>909</v>
      </c>
      <c r="I138" s="5">
        <v>803</v>
      </c>
      <c r="J138" s="5">
        <v>315</v>
      </c>
      <c r="K138" s="5">
        <v>300</v>
      </c>
      <c r="L138" s="5">
        <v>140</v>
      </c>
      <c r="M138" s="5">
        <v>17</v>
      </c>
      <c r="N138" s="5">
        <v>635</v>
      </c>
      <c r="O138" s="6"/>
      <c r="P138" s="6">
        <f t="shared" si="20"/>
        <v>1099</v>
      </c>
      <c r="Q138" s="6">
        <f t="shared" si="21"/>
        <v>300</v>
      </c>
      <c r="R138" s="6">
        <f t="shared" si="22"/>
        <v>27</v>
      </c>
      <c r="S138" s="6">
        <f t="shared" si="23"/>
        <v>27</v>
      </c>
      <c r="T138" s="6">
        <f t="shared" si="24"/>
        <v>3818</v>
      </c>
      <c r="U138" s="6"/>
      <c r="V138" s="6"/>
      <c r="W138" s="5"/>
      <c r="X138" s="5"/>
      <c r="Y138" s="5"/>
      <c r="Z138" s="6">
        <f t="shared" si="25"/>
        <v>3818</v>
      </c>
    </row>
    <row r="139" spans="2:26">
      <c r="B139" s="4" t="s">
        <v>419</v>
      </c>
      <c r="C139" s="4" t="s">
        <v>420</v>
      </c>
      <c r="D139" s="4" t="s">
        <v>421</v>
      </c>
      <c r="E139" s="4" t="s">
        <v>25</v>
      </c>
      <c r="F139" s="5">
        <v>558</v>
      </c>
      <c r="G139" s="5">
        <v>50</v>
      </c>
      <c r="H139" s="5">
        <v>909</v>
      </c>
      <c r="I139" s="5">
        <v>803</v>
      </c>
      <c r="J139" s="5">
        <v>315</v>
      </c>
      <c r="K139" s="5">
        <v>300</v>
      </c>
      <c r="L139" s="5">
        <v>140</v>
      </c>
      <c r="M139" s="5">
        <v>17</v>
      </c>
      <c r="N139" s="5">
        <v>635</v>
      </c>
      <c r="O139" s="6"/>
      <c r="P139" s="6">
        <f t="shared" si="20"/>
        <v>1099</v>
      </c>
      <c r="Q139" s="6">
        <f t="shared" si="21"/>
        <v>300</v>
      </c>
      <c r="R139" s="6">
        <f t="shared" si="22"/>
        <v>27</v>
      </c>
      <c r="S139" s="6">
        <f t="shared" si="23"/>
        <v>27</v>
      </c>
      <c r="T139" s="6">
        <f t="shared" si="24"/>
        <v>3781</v>
      </c>
      <c r="U139" s="5">
        <v>34295</v>
      </c>
      <c r="V139" s="5">
        <v>592</v>
      </c>
      <c r="W139" s="5">
        <f t="shared" ref="W139:W199" si="26">ROUND(U139*21/100/365*31,0)</f>
        <v>612</v>
      </c>
      <c r="X139" s="5">
        <f>ROUND(W139*9/100,0)</f>
        <v>55</v>
      </c>
      <c r="Y139" s="5">
        <f>X139</f>
        <v>55</v>
      </c>
      <c r="Z139" s="6">
        <f t="shared" si="25"/>
        <v>39390</v>
      </c>
    </row>
    <row r="140" spans="2:26">
      <c r="B140" s="4" t="s">
        <v>422</v>
      </c>
      <c r="C140" s="4" t="s">
        <v>423</v>
      </c>
      <c r="D140" s="4" t="s">
        <v>424</v>
      </c>
      <c r="E140" s="4" t="s">
        <v>25</v>
      </c>
      <c r="F140" s="5">
        <v>559</v>
      </c>
      <c r="G140" s="5">
        <v>50</v>
      </c>
      <c r="H140" s="5">
        <v>909</v>
      </c>
      <c r="I140" s="5">
        <v>803</v>
      </c>
      <c r="J140" s="5">
        <v>315</v>
      </c>
      <c r="K140" s="5">
        <v>350</v>
      </c>
      <c r="L140" s="5">
        <v>140</v>
      </c>
      <c r="M140" s="5">
        <v>17</v>
      </c>
      <c r="N140" s="5">
        <v>635</v>
      </c>
      <c r="O140" s="6"/>
      <c r="P140" s="6">
        <f t="shared" si="20"/>
        <v>1099</v>
      </c>
      <c r="Q140" s="6">
        <f t="shared" si="21"/>
        <v>350</v>
      </c>
      <c r="R140" s="6">
        <f t="shared" si="22"/>
        <v>32</v>
      </c>
      <c r="S140" s="6">
        <f t="shared" si="23"/>
        <v>32</v>
      </c>
      <c r="T140" s="6">
        <f t="shared" si="24"/>
        <v>3842</v>
      </c>
      <c r="U140" s="6"/>
      <c r="V140" s="6"/>
      <c r="W140" s="5"/>
      <c r="X140" s="5"/>
      <c r="Y140" s="5"/>
      <c r="Z140" s="6">
        <f t="shared" si="25"/>
        <v>3842</v>
      </c>
    </row>
    <row r="141" spans="2:26">
      <c r="B141" s="4" t="s">
        <v>425</v>
      </c>
      <c r="C141" s="4" t="s">
        <v>426</v>
      </c>
      <c r="D141" s="4" t="s">
        <v>427</v>
      </c>
      <c r="E141" s="4" t="s">
        <v>25</v>
      </c>
      <c r="F141" s="5">
        <v>531</v>
      </c>
      <c r="G141" s="5">
        <v>50</v>
      </c>
      <c r="H141" s="5">
        <v>909</v>
      </c>
      <c r="I141" s="5">
        <v>803</v>
      </c>
      <c r="J141" s="5">
        <v>315</v>
      </c>
      <c r="K141" s="5">
        <v>200</v>
      </c>
      <c r="L141" s="5">
        <v>140</v>
      </c>
      <c r="M141" s="5">
        <v>17</v>
      </c>
      <c r="N141" s="5">
        <v>635</v>
      </c>
      <c r="O141" s="5">
        <v>101</v>
      </c>
      <c r="P141" s="6">
        <f t="shared" si="20"/>
        <v>1099</v>
      </c>
      <c r="Q141" s="6">
        <f t="shared" si="21"/>
        <v>301</v>
      </c>
      <c r="R141" s="6">
        <f t="shared" si="22"/>
        <v>27</v>
      </c>
      <c r="S141" s="6">
        <f t="shared" si="23"/>
        <v>27</v>
      </c>
      <c r="T141" s="6">
        <f t="shared" si="24"/>
        <v>3755</v>
      </c>
      <c r="U141" s="5">
        <v>3162</v>
      </c>
      <c r="V141" s="6"/>
      <c r="W141" s="5">
        <f t="shared" si="26"/>
        <v>56</v>
      </c>
      <c r="X141" s="5">
        <f>ROUND(W141*9/100,0)</f>
        <v>5</v>
      </c>
      <c r="Y141" s="5">
        <f>X141</f>
        <v>5</v>
      </c>
      <c r="Z141" s="6">
        <f t="shared" si="25"/>
        <v>6983</v>
      </c>
    </row>
    <row r="142" spans="2:26">
      <c r="B142" s="4" t="s">
        <v>428</v>
      </c>
      <c r="C142" s="4" t="s">
        <v>429</v>
      </c>
      <c r="D142" s="4" t="s">
        <v>430</v>
      </c>
      <c r="E142" s="4" t="s">
        <v>431</v>
      </c>
      <c r="F142" s="5">
        <v>595</v>
      </c>
      <c r="G142" s="5">
        <v>50</v>
      </c>
      <c r="H142" s="5">
        <v>909</v>
      </c>
      <c r="I142" s="5">
        <v>803</v>
      </c>
      <c r="J142" s="5">
        <v>315</v>
      </c>
      <c r="K142" s="5">
        <v>600</v>
      </c>
      <c r="L142" s="5">
        <v>140</v>
      </c>
      <c r="M142" s="5">
        <v>17</v>
      </c>
      <c r="N142" s="5">
        <v>635</v>
      </c>
      <c r="O142" s="6"/>
      <c r="P142" s="6">
        <f t="shared" si="20"/>
        <v>1099</v>
      </c>
      <c r="Q142" s="6">
        <f t="shared" si="21"/>
        <v>600</v>
      </c>
      <c r="R142" s="6">
        <f t="shared" si="22"/>
        <v>54</v>
      </c>
      <c r="S142" s="6">
        <f t="shared" si="23"/>
        <v>54</v>
      </c>
      <c r="T142" s="6">
        <f t="shared" si="24"/>
        <v>4172</v>
      </c>
      <c r="U142" s="6"/>
      <c r="V142" s="6"/>
      <c r="W142" s="5"/>
      <c r="X142" s="5"/>
      <c r="Y142" s="5"/>
      <c r="Z142" s="6">
        <f t="shared" si="25"/>
        <v>4172</v>
      </c>
    </row>
    <row r="143" spans="2:26">
      <c r="B143" s="4" t="s">
        <v>432</v>
      </c>
      <c r="C143" s="4" t="s">
        <v>433</v>
      </c>
      <c r="D143" s="4" t="s">
        <v>434</v>
      </c>
      <c r="E143" s="4" t="s">
        <v>25</v>
      </c>
      <c r="F143" s="5">
        <v>585</v>
      </c>
      <c r="G143" s="5">
        <v>50</v>
      </c>
      <c r="H143" s="5">
        <v>909</v>
      </c>
      <c r="I143" s="5">
        <v>803</v>
      </c>
      <c r="J143" s="5">
        <v>315</v>
      </c>
      <c r="K143" s="5">
        <v>450</v>
      </c>
      <c r="L143" s="5">
        <v>140</v>
      </c>
      <c r="M143" s="5">
        <v>17</v>
      </c>
      <c r="N143" s="5">
        <v>635</v>
      </c>
      <c r="O143" s="6"/>
      <c r="P143" s="6">
        <f t="shared" si="20"/>
        <v>1099</v>
      </c>
      <c r="Q143" s="6">
        <f t="shared" si="21"/>
        <v>450</v>
      </c>
      <c r="R143" s="6">
        <f t="shared" si="22"/>
        <v>41</v>
      </c>
      <c r="S143" s="6">
        <f t="shared" si="23"/>
        <v>41</v>
      </c>
      <c r="T143" s="6">
        <f t="shared" si="24"/>
        <v>3986</v>
      </c>
      <c r="U143" s="6"/>
      <c r="V143" s="6"/>
      <c r="W143" s="5"/>
      <c r="X143" s="5"/>
      <c r="Y143" s="5"/>
      <c r="Z143" s="6">
        <f t="shared" si="25"/>
        <v>3986</v>
      </c>
    </row>
    <row r="144" spans="2:26">
      <c r="B144" s="4" t="s">
        <v>435</v>
      </c>
      <c r="C144" s="4" t="s">
        <v>436</v>
      </c>
      <c r="D144" s="4" t="s">
        <v>437</v>
      </c>
      <c r="E144" s="4" t="s">
        <v>25</v>
      </c>
      <c r="F144" s="5">
        <v>587</v>
      </c>
      <c r="G144" s="5">
        <v>50</v>
      </c>
      <c r="H144" s="5">
        <v>909</v>
      </c>
      <c r="I144" s="5">
        <v>803</v>
      </c>
      <c r="J144" s="5">
        <v>315</v>
      </c>
      <c r="K144" s="5">
        <v>200</v>
      </c>
      <c r="L144" s="5">
        <v>140</v>
      </c>
      <c r="M144" s="5">
        <v>17</v>
      </c>
      <c r="N144" s="5">
        <v>635</v>
      </c>
      <c r="O144" s="6"/>
      <c r="P144" s="6">
        <f t="shared" si="20"/>
        <v>1099</v>
      </c>
      <c r="Q144" s="6">
        <f t="shared" si="21"/>
        <v>200</v>
      </c>
      <c r="R144" s="6">
        <f t="shared" si="22"/>
        <v>18</v>
      </c>
      <c r="S144" s="6">
        <f t="shared" si="23"/>
        <v>18</v>
      </c>
      <c r="T144" s="6">
        <f t="shared" si="24"/>
        <v>3692</v>
      </c>
      <c r="U144" s="6"/>
      <c r="V144" s="6"/>
      <c r="W144" s="5"/>
      <c r="X144" s="5"/>
      <c r="Y144" s="5"/>
      <c r="Z144" s="6">
        <f t="shared" si="25"/>
        <v>3692</v>
      </c>
    </row>
    <row r="145" spans="2:26">
      <c r="B145" s="4" t="s">
        <v>438</v>
      </c>
      <c r="C145" s="4" t="s">
        <v>439</v>
      </c>
      <c r="D145" s="4" t="s">
        <v>440</v>
      </c>
      <c r="E145" s="4" t="s">
        <v>25</v>
      </c>
      <c r="F145" s="5">
        <v>557</v>
      </c>
      <c r="G145" s="5">
        <v>50</v>
      </c>
      <c r="H145" s="5">
        <v>909</v>
      </c>
      <c r="I145" s="5">
        <v>803</v>
      </c>
      <c r="J145" s="5">
        <v>315</v>
      </c>
      <c r="K145" s="6"/>
      <c r="L145" s="5">
        <v>140</v>
      </c>
      <c r="M145" s="5">
        <v>17</v>
      </c>
      <c r="N145" s="5">
        <v>635</v>
      </c>
      <c r="O145" s="5">
        <v>101</v>
      </c>
      <c r="P145" s="6">
        <f t="shared" si="20"/>
        <v>1099</v>
      </c>
      <c r="Q145" s="6">
        <f t="shared" si="21"/>
        <v>101</v>
      </c>
      <c r="R145" s="6">
        <f t="shared" si="22"/>
        <v>9</v>
      </c>
      <c r="S145" s="6">
        <f t="shared" si="23"/>
        <v>9</v>
      </c>
      <c r="T145" s="6">
        <f t="shared" si="24"/>
        <v>3545</v>
      </c>
      <c r="U145" s="5">
        <v>20</v>
      </c>
      <c r="V145" s="6"/>
      <c r="W145" s="5"/>
      <c r="X145" s="5"/>
      <c r="Y145" s="5"/>
      <c r="Z145" s="6">
        <f t="shared" si="25"/>
        <v>3565</v>
      </c>
    </row>
    <row r="146" spans="2:26">
      <c r="B146" s="4" t="s">
        <v>441</v>
      </c>
      <c r="C146" s="4" t="s">
        <v>442</v>
      </c>
      <c r="D146" s="4" t="s">
        <v>443</v>
      </c>
      <c r="E146" s="4" t="s">
        <v>25</v>
      </c>
      <c r="F146" s="5">
        <v>624</v>
      </c>
      <c r="G146" s="5">
        <v>50</v>
      </c>
      <c r="H146" s="5">
        <v>909</v>
      </c>
      <c r="I146" s="5">
        <v>803</v>
      </c>
      <c r="J146" s="5">
        <v>315</v>
      </c>
      <c r="K146" s="5">
        <v>200</v>
      </c>
      <c r="L146" s="5">
        <v>140</v>
      </c>
      <c r="M146" s="5">
        <v>17</v>
      </c>
      <c r="N146" s="5">
        <v>635</v>
      </c>
      <c r="O146" s="6"/>
      <c r="P146" s="6">
        <f t="shared" si="20"/>
        <v>1099</v>
      </c>
      <c r="Q146" s="6">
        <f t="shared" si="21"/>
        <v>200</v>
      </c>
      <c r="R146" s="6">
        <f t="shared" si="22"/>
        <v>18</v>
      </c>
      <c r="S146" s="6">
        <f t="shared" si="23"/>
        <v>18</v>
      </c>
      <c r="T146" s="6">
        <f t="shared" si="24"/>
        <v>3729</v>
      </c>
      <c r="U146" s="5">
        <v>-771</v>
      </c>
      <c r="V146" s="6"/>
      <c r="W146" s="5"/>
      <c r="X146" s="5"/>
      <c r="Y146" s="5"/>
      <c r="Z146" s="6">
        <f t="shared" si="25"/>
        <v>2958</v>
      </c>
    </row>
    <row r="147" spans="2:26">
      <c r="B147" s="4" t="s">
        <v>444</v>
      </c>
      <c r="C147" s="4" t="s">
        <v>445</v>
      </c>
      <c r="D147" s="4" t="s">
        <v>446</v>
      </c>
      <c r="E147" s="4" t="s">
        <v>25</v>
      </c>
      <c r="F147" s="5">
        <v>585</v>
      </c>
      <c r="G147" s="5">
        <v>50</v>
      </c>
      <c r="H147" s="5">
        <v>909</v>
      </c>
      <c r="I147" s="5">
        <v>803</v>
      </c>
      <c r="J147" s="5">
        <v>315</v>
      </c>
      <c r="K147" s="6"/>
      <c r="L147" s="5">
        <v>140</v>
      </c>
      <c r="M147" s="5">
        <v>17</v>
      </c>
      <c r="N147" s="5">
        <v>635</v>
      </c>
      <c r="O147" s="6"/>
      <c r="P147" s="6">
        <f t="shared" si="20"/>
        <v>1099</v>
      </c>
      <c r="Q147" s="6">
        <f t="shared" si="21"/>
        <v>0</v>
      </c>
      <c r="R147" s="6">
        <f t="shared" si="22"/>
        <v>0</v>
      </c>
      <c r="S147" s="6">
        <f t="shared" si="23"/>
        <v>0</v>
      </c>
      <c r="T147" s="6">
        <f t="shared" si="24"/>
        <v>3454</v>
      </c>
      <c r="U147" s="5">
        <v>2813</v>
      </c>
      <c r="V147" s="6"/>
      <c r="W147" s="5">
        <f t="shared" si="26"/>
        <v>50</v>
      </c>
      <c r="X147" s="5">
        <f>ROUND(W147*9/100,0)</f>
        <v>5</v>
      </c>
      <c r="Y147" s="5">
        <f>X147</f>
        <v>5</v>
      </c>
      <c r="Z147" s="6">
        <f t="shared" si="25"/>
        <v>6327</v>
      </c>
    </row>
    <row r="148" spans="2:26">
      <c r="B148" s="4" t="s">
        <v>447</v>
      </c>
      <c r="C148" s="4" t="s">
        <v>448</v>
      </c>
      <c r="D148" s="4" t="s">
        <v>449</v>
      </c>
      <c r="E148" s="4" t="s">
        <v>25</v>
      </c>
      <c r="F148" s="5">
        <v>587</v>
      </c>
      <c r="G148" s="5">
        <v>50</v>
      </c>
      <c r="H148" s="5">
        <v>909</v>
      </c>
      <c r="I148" s="5">
        <v>803</v>
      </c>
      <c r="J148" s="5">
        <v>315</v>
      </c>
      <c r="K148" s="5">
        <v>100</v>
      </c>
      <c r="L148" s="5">
        <v>140</v>
      </c>
      <c r="M148" s="5">
        <v>17</v>
      </c>
      <c r="N148" s="5">
        <v>635</v>
      </c>
      <c r="O148" s="6"/>
      <c r="P148" s="6">
        <f t="shared" si="20"/>
        <v>1099</v>
      </c>
      <c r="Q148" s="6">
        <f t="shared" si="21"/>
        <v>100</v>
      </c>
      <c r="R148" s="6">
        <f t="shared" si="22"/>
        <v>9</v>
      </c>
      <c r="S148" s="6">
        <f t="shared" si="23"/>
        <v>9</v>
      </c>
      <c r="T148" s="6">
        <f t="shared" si="24"/>
        <v>3574</v>
      </c>
      <c r="U148" s="6"/>
      <c r="V148" s="6"/>
      <c r="W148" s="5"/>
      <c r="X148" s="5"/>
      <c r="Y148" s="5"/>
      <c r="Z148" s="6">
        <f t="shared" si="25"/>
        <v>3574</v>
      </c>
    </row>
    <row r="149" spans="2:26">
      <c r="B149" s="4" t="s">
        <v>450</v>
      </c>
      <c r="C149" s="4" t="s">
        <v>451</v>
      </c>
      <c r="D149" s="4" t="s">
        <v>452</v>
      </c>
      <c r="E149" s="4" t="s">
        <v>25</v>
      </c>
      <c r="F149" s="5">
        <v>557</v>
      </c>
      <c r="G149" s="5">
        <v>50</v>
      </c>
      <c r="H149" s="5">
        <v>909</v>
      </c>
      <c r="I149" s="5">
        <v>803</v>
      </c>
      <c r="J149" s="5">
        <v>315</v>
      </c>
      <c r="K149" s="5">
        <v>450</v>
      </c>
      <c r="L149" s="5">
        <v>140</v>
      </c>
      <c r="M149" s="5">
        <v>17</v>
      </c>
      <c r="N149" s="5">
        <v>635</v>
      </c>
      <c r="O149" s="6"/>
      <c r="P149" s="6">
        <f t="shared" si="20"/>
        <v>1099</v>
      </c>
      <c r="Q149" s="6">
        <f t="shared" si="21"/>
        <v>450</v>
      </c>
      <c r="R149" s="6">
        <f t="shared" si="22"/>
        <v>41</v>
      </c>
      <c r="S149" s="6">
        <f t="shared" si="23"/>
        <v>41</v>
      </c>
      <c r="T149" s="6">
        <f t="shared" si="24"/>
        <v>3958</v>
      </c>
      <c r="U149" s="6"/>
      <c r="V149" s="6"/>
      <c r="W149" s="5"/>
      <c r="X149" s="5"/>
      <c r="Y149" s="5"/>
      <c r="Z149" s="6">
        <f t="shared" si="25"/>
        <v>3958</v>
      </c>
    </row>
    <row r="150" spans="2:26">
      <c r="B150" s="4" t="s">
        <v>453</v>
      </c>
      <c r="C150" s="4" t="s">
        <v>454</v>
      </c>
      <c r="D150" s="4" t="s">
        <v>455</v>
      </c>
      <c r="E150" s="4" t="s">
        <v>25</v>
      </c>
      <c r="F150" s="5">
        <v>624</v>
      </c>
      <c r="G150" s="5">
        <v>50</v>
      </c>
      <c r="H150" s="5">
        <v>909</v>
      </c>
      <c r="I150" s="5">
        <v>803</v>
      </c>
      <c r="J150" s="5">
        <v>315</v>
      </c>
      <c r="K150" s="6"/>
      <c r="L150" s="5">
        <v>140</v>
      </c>
      <c r="M150" s="5">
        <v>17</v>
      </c>
      <c r="N150" s="5">
        <v>635</v>
      </c>
      <c r="O150" s="5">
        <v>101</v>
      </c>
      <c r="P150" s="6">
        <f t="shared" si="20"/>
        <v>1099</v>
      </c>
      <c r="Q150" s="6">
        <f t="shared" si="21"/>
        <v>101</v>
      </c>
      <c r="R150" s="6">
        <f t="shared" si="22"/>
        <v>9</v>
      </c>
      <c r="S150" s="6">
        <f t="shared" si="23"/>
        <v>9</v>
      </c>
      <c r="T150" s="6">
        <f t="shared" si="24"/>
        <v>3612</v>
      </c>
      <c r="U150" s="6"/>
      <c r="V150" s="6"/>
      <c r="W150" s="5"/>
      <c r="X150" s="5"/>
      <c r="Y150" s="5"/>
      <c r="Z150" s="6">
        <f t="shared" si="25"/>
        <v>3612</v>
      </c>
    </row>
    <row r="151" spans="2:26">
      <c r="B151" s="4" t="s">
        <v>456</v>
      </c>
      <c r="C151" s="4" t="s">
        <v>457</v>
      </c>
      <c r="D151" s="4" t="s">
        <v>458</v>
      </c>
      <c r="E151" s="4" t="s">
        <v>25</v>
      </c>
      <c r="F151" s="5">
        <v>585</v>
      </c>
      <c r="G151" s="5">
        <v>50</v>
      </c>
      <c r="H151" s="5">
        <v>909</v>
      </c>
      <c r="I151" s="5">
        <v>803</v>
      </c>
      <c r="J151" s="5">
        <v>315</v>
      </c>
      <c r="K151" s="6"/>
      <c r="L151" s="5">
        <v>140</v>
      </c>
      <c r="M151" s="5">
        <v>17</v>
      </c>
      <c r="N151" s="5">
        <v>635</v>
      </c>
      <c r="O151" s="6"/>
      <c r="P151" s="6">
        <f t="shared" si="20"/>
        <v>1099</v>
      </c>
      <c r="Q151" s="6">
        <f t="shared" si="21"/>
        <v>0</v>
      </c>
      <c r="R151" s="6">
        <f t="shared" si="22"/>
        <v>0</v>
      </c>
      <c r="S151" s="6">
        <f t="shared" si="23"/>
        <v>0</v>
      </c>
      <c r="T151" s="6">
        <f t="shared" si="24"/>
        <v>3454</v>
      </c>
      <c r="U151" s="6"/>
      <c r="V151" s="6"/>
      <c r="W151" s="5"/>
      <c r="X151" s="5"/>
      <c r="Y151" s="5"/>
      <c r="Z151" s="6">
        <f t="shared" si="25"/>
        <v>3454</v>
      </c>
    </row>
    <row r="152" spans="2:26">
      <c r="B152" s="4" t="s">
        <v>459</v>
      </c>
      <c r="C152" s="4" t="s">
        <v>460</v>
      </c>
      <c r="D152" s="4" t="s">
        <v>461</v>
      </c>
      <c r="E152" s="4" t="s">
        <v>25</v>
      </c>
      <c r="F152" s="5">
        <v>587</v>
      </c>
      <c r="G152" s="5">
        <v>50</v>
      </c>
      <c r="H152" s="5">
        <v>909</v>
      </c>
      <c r="I152" s="5">
        <v>803</v>
      </c>
      <c r="J152" s="5">
        <v>315</v>
      </c>
      <c r="K152" s="5">
        <v>100</v>
      </c>
      <c r="L152" s="5">
        <v>140</v>
      </c>
      <c r="M152" s="5">
        <v>17</v>
      </c>
      <c r="N152" s="5">
        <v>635</v>
      </c>
      <c r="O152" s="6"/>
      <c r="P152" s="6">
        <f t="shared" si="20"/>
        <v>1099</v>
      </c>
      <c r="Q152" s="6">
        <f t="shared" si="21"/>
        <v>100</v>
      </c>
      <c r="R152" s="6">
        <f t="shared" si="22"/>
        <v>9</v>
      </c>
      <c r="S152" s="6">
        <f t="shared" si="23"/>
        <v>9</v>
      </c>
      <c r="T152" s="6">
        <f t="shared" si="24"/>
        <v>3574</v>
      </c>
      <c r="U152" s="6"/>
      <c r="V152" s="6"/>
      <c r="W152" s="5"/>
      <c r="X152" s="5"/>
      <c r="Y152" s="5"/>
      <c r="Z152" s="6">
        <f t="shared" si="25"/>
        <v>3574</v>
      </c>
    </row>
    <row r="153" spans="2:26">
      <c r="B153" s="4" t="s">
        <v>462</v>
      </c>
      <c r="C153" s="4" t="s">
        <v>463</v>
      </c>
      <c r="D153" s="4" t="s">
        <v>464</v>
      </c>
      <c r="E153" s="4" t="s">
        <v>25</v>
      </c>
      <c r="F153" s="5">
        <v>557</v>
      </c>
      <c r="G153" s="5">
        <v>50</v>
      </c>
      <c r="H153" s="5">
        <v>909</v>
      </c>
      <c r="I153" s="5">
        <v>803</v>
      </c>
      <c r="J153" s="5">
        <v>315</v>
      </c>
      <c r="K153" s="5">
        <v>200</v>
      </c>
      <c r="L153" s="5">
        <v>140</v>
      </c>
      <c r="M153" s="5">
        <v>17</v>
      </c>
      <c r="N153" s="5">
        <v>635</v>
      </c>
      <c r="O153" s="5">
        <v>101</v>
      </c>
      <c r="P153" s="6">
        <f t="shared" si="20"/>
        <v>1099</v>
      </c>
      <c r="Q153" s="6">
        <f t="shared" si="21"/>
        <v>301</v>
      </c>
      <c r="R153" s="6">
        <f t="shared" si="22"/>
        <v>27</v>
      </c>
      <c r="S153" s="6">
        <f t="shared" si="23"/>
        <v>27</v>
      </c>
      <c r="T153" s="6">
        <f t="shared" si="24"/>
        <v>3781</v>
      </c>
      <c r="U153" s="6"/>
      <c r="V153" s="6"/>
      <c r="W153" s="5"/>
      <c r="X153" s="5"/>
      <c r="Y153" s="5"/>
      <c r="Z153" s="6">
        <f t="shared" si="25"/>
        <v>3781</v>
      </c>
    </row>
    <row r="154" spans="2:26">
      <c r="B154" s="4" t="s">
        <v>465</v>
      </c>
      <c r="C154" s="4" t="s">
        <v>466</v>
      </c>
      <c r="D154" s="4" t="s">
        <v>467</v>
      </c>
      <c r="E154" s="4" t="s">
        <v>25</v>
      </c>
      <c r="F154" s="5">
        <v>624</v>
      </c>
      <c r="G154" s="5">
        <v>50</v>
      </c>
      <c r="H154" s="5">
        <v>909</v>
      </c>
      <c r="I154" s="5">
        <v>803</v>
      </c>
      <c r="J154" s="5">
        <v>315</v>
      </c>
      <c r="K154" s="5">
        <v>300</v>
      </c>
      <c r="L154" s="5">
        <v>140</v>
      </c>
      <c r="M154" s="5">
        <v>17</v>
      </c>
      <c r="N154" s="5">
        <v>635</v>
      </c>
      <c r="O154" s="6"/>
      <c r="P154" s="6">
        <f t="shared" si="20"/>
        <v>1099</v>
      </c>
      <c r="Q154" s="6">
        <f t="shared" si="21"/>
        <v>300</v>
      </c>
      <c r="R154" s="6">
        <f t="shared" si="22"/>
        <v>27</v>
      </c>
      <c r="S154" s="6">
        <f t="shared" si="23"/>
        <v>27</v>
      </c>
      <c r="T154" s="6">
        <f t="shared" si="24"/>
        <v>3847</v>
      </c>
      <c r="U154" s="6"/>
      <c r="V154" s="6"/>
      <c r="W154" s="5"/>
      <c r="X154" s="5"/>
      <c r="Y154" s="5"/>
      <c r="Z154" s="6">
        <f t="shared" si="25"/>
        <v>3847</v>
      </c>
    </row>
    <row r="155" spans="2:26">
      <c r="B155" s="4" t="s">
        <v>468</v>
      </c>
      <c r="C155" s="4" t="s">
        <v>469</v>
      </c>
      <c r="D155" s="4" t="s">
        <v>470</v>
      </c>
      <c r="E155" s="4" t="s">
        <v>25</v>
      </c>
      <c r="F155" s="5">
        <v>585</v>
      </c>
      <c r="G155" s="5">
        <v>50</v>
      </c>
      <c r="H155" s="5">
        <v>909</v>
      </c>
      <c r="I155" s="5">
        <v>803</v>
      </c>
      <c r="J155" s="5">
        <v>315</v>
      </c>
      <c r="K155" s="5">
        <v>450</v>
      </c>
      <c r="L155" s="5">
        <v>140</v>
      </c>
      <c r="M155" s="5">
        <v>17</v>
      </c>
      <c r="N155" s="5">
        <v>635</v>
      </c>
      <c r="O155" s="6"/>
      <c r="P155" s="6">
        <f t="shared" si="20"/>
        <v>1099</v>
      </c>
      <c r="Q155" s="6">
        <f t="shared" si="21"/>
        <v>450</v>
      </c>
      <c r="R155" s="6">
        <f t="shared" si="22"/>
        <v>41</v>
      </c>
      <c r="S155" s="6">
        <f t="shared" si="23"/>
        <v>41</v>
      </c>
      <c r="T155" s="6">
        <f t="shared" si="24"/>
        <v>3986</v>
      </c>
      <c r="U155" s="5">
        <v>3345</v>
      </c>
      <c r="V155" s="6"/>
      <c r="W155" s="5">
        <f t="shared" si="26"/>
        <v>60</v>
      </c>
      <c r="X155" s="5">
        <f t="shared" ref="X155:X156" si="27">ROUND(W155*9/100,0)</f>
        <v>5</v>
      </c>
      <c r="Y155" s="5">
        <f t="shared" ref="Y155:Y156" si="28">X155</f>
        <v>5</v>
      </c>
      <c r="Z155" s="6">
        <f t="shared" si="25"/>
        <v>7401</v>
      </c>
    </row>
    <row r="156" spans="2:26">
      <c r="B156" s="4" t="s">
        <v>471</v>
      </c>
      <c r="C156" s="4" t="s">
        <v>472</v>
      </c>
      <c r="D156" s="4" t="s">
        <v>473</v>
      </c>
      <c r="E156" s="4" t="s">
        <v>25</v>
      </c>
      <c r="F156" s="5">
        <v>587</v>
      </c>
      <c r="G156" s="5">
        <v>50</v>
      </c>
      <c r="H156" s="5">
        <v>909</v>
      </c>
      <c r="I156" s="5">
        <v>803</v>
      </c>
      <c r="J156" s="5">
        <v>315</v>
      </c>
      <c r="K156" s="5">
        <v>300</v>
      </c>
      <c r="L156" s="5">
        <v>140</v>
      </c>
      <c r="M156" s="5">
        <v>17</v>
      </c>
      <c r="N156" s="5">
        <v>635</v>
      </c>
      <c r="O156" s="6"/>
      <c r="P156" s="6">
        <f t="shared" si="20"/>
        <v>1099</v>
      </c>
      <c r="Q156" s="6">
        <f t="shared" si="21"/>
        <v>300</v>
      </c>
      <c r="R156" s="6">
        <f t="shared" si="22"/>
        <v>27</v>
      </c>
      <c r="S156" s="6">
        <f t="shared" si="23"/>
        <v>27</v>
      </c>
      <c r="T156" s="6">
        <f t="shared" si="24"/>
        <v>3810</v>
      </c>
      <c r="U156" s="5">
        <v>8269</v>
      </c>
      <c r="V156" s="5">
        <v>136</v>
      </c>
      <c r="W156" s="5">
        <f t="shared" si="26"/>
        <v>147</v>
      </c>
      <c r="X156" s="5">
        <f t="shared" si="27"/>
        <v>13</v>
      </c>
      <c r="Y156" s="5">
        <f t="shared" si="28"/>
        <v>13</v>
      </c>
      <c r="Z156" s="6">
        <f t="shared" si="25"/>
        <v>12388</v>
      </c>
    </row>
    <row r="157" spans="2:26">
      <c r="B157" s="4" t="s">
        <v>474</v>
      </c>
      <c r="C157" s="4" t="s">
        <v>475</v>
      </c>
      <c r="D157" s="4" t="s">
        <v>476</v>
      </c>
      <c r="E157" s="4" t="s">
        <v>477</v>
      </c>
      <c r="F157" s="5">
        <v>557</v>
      </c>
      <c r="G157" s="5">
        <v>50</v>
      </c>
      <c r="H157" s="5">
        <v>909</v>
      </c>
      <c r="I157" s="5">
        <v>803</v>
      </c>
      <c r="J157" s="5">
        <v>315</v>
      </c>
      <c r="K157" s="5">
        <v>300</v>
      </c>
      <c r="L157" s="5">
        <v>140</v>
      </c>
      <c r="M157" s="5">
        <v>17</v>
      </c>
      <c r="N157" s="5">
        <v>635</v>
      </c>
      <c r="O157" s="6"/>
      <c r="P157" s="6">
        <f t="shared" si="20"/>
        <v>1099</v>
      </c>
      <c r="Q157" s="6">
        <f t="shared" si="21"/>
        <v>300</v>
      </c>
      <c r="R157" s="6">
        <f t="shared" si="22"/>
        <v>27</v>
      </c>
      <c r="S157" s="6">
        <f t="shared" si="23"/>
        <v>27</v>
      </c>
      <c r="T157" s="6">
        <f t="shared" si="24"/>
        <v>3780</v>
      </c>
      <c r="U157" s="6"/>
      <c r="V157" s="6"/>
      <c r="W157" s="5"/>
      <c r="X157" s="5"/>
      <c r="Y157" s="5"/>
      <c r="Z157" s="6">
        <f t="shared" si="25"/>
        <v>3780</v>
      </c>
    </row>
    <row r="158" spans="2:26">
      <c r="B158" s="4" t="s">
        <v>478</v>
      </c>
      <c r="C158" s="4" t="s">
        <v>479</v>
      </c>
      <c r="D158" s="4" t="s">
        <v>480</v>
      </c>
      <c r="E158" s="4" t="s">
        <v>25</v>
      </c>
      <c r="F158" s="5">
        <v>624</v>
      </c>
      <c r="G158" s="5">
        <v>50</v>
      </c>
      <c r="H158" s="5">
        <v>909</v>
      </c>
      <c r="I158" s="5">
        <v>803</v>
      </c>
      <c r="J158" s="5">
        <v>315</v>
      </c>
      <c r="K158" s="6"/>
      <c r="L158" s="5">
        <v>140</v>
      </c>
      <c r="M158" s="5">
        <v>17</v>
      </c>
      <c r="N158" s="5">
        <v>635</v>
      </c>
      <c r="O158" s="6"/>
      <c r="P158" s="6">
        <f t="shared" si="20"/>
        <v>1099</v>
      </c>
      <c r="Q158" s="6">
        <f t="shared" si="21"/>
        <v>0</v>
      </c>
      <c r="R158" s="6">
        <f t="shared" si="22"/>
        <v>0</v>
      </c>
      <c r="S158" s="6">
        <f t="shared" si="23"/>
        <v>0</v>
      </c>
      <c r="T158" s="6">
        <f t="shared" si="24"/>
        <v>3493</v>
      </c>
      <c r="U158" s="6"/>
      <c r="V158" s="6"/>
      <c r="W158" s="5"/>
      <c r="X158" s="5"/>
      <c r="Y158" s="5"/>
      <c r="Z158" s="6">
        <f t="shared" si="25"/>
        <v>3493</v>
      </c>
    </row>
    <row r="159" spans="2:26">
      <c r="B159" s="4" t="s">
        <v>481</v>
      </c>
      <c r="C159" s="4" t="s">
        <v>482</v>
      </c>
      <c r="D159" s="4" t="s">
        <v>483</v>
      </c>
      <c r="E159" s="4" t="s">
        <v>25</v>
      </c>
      <c r="F159" s="5">
        <v>372</v>
      </c>
      <c r="G159" s="5">
        <v>35</v>
      </c>
      <c r="H159" s="5">
        <v>893</v>
      </c>
      <c r="I159" s="5">
        <v>803</v>
      </c>
      <c r="J159" s="5">
        <v>315</v>
      </c>
      <c r="K159" s="5">
        <v>450</v>
      </c>
      <c r="L159" s="5">
        <v>100</v>
      </c>
      <c r="M159" s="5">
        <v>17</v>
      </c>
      <c r="N159" s="5">
        <v>635</v>
      </c>
      <c r="O159" s="6"/>
      <c r="P159" s="6">
        <f t="shared" si="20"/>
        <v>1028</v>
      </c>
      <c r="Q159" s="6">
        <f t="shared" si="21"/>
        <v>450</v>
      </c>
      <c r="R159" s="6">
        <f t="shared" si="22"/>
        <v>41</v>
      </c>
      <c r="S159" s="6">
        <f t="shared" si="23"/>
        <v>41</v>
      </c>
      <c r="T159" s="6">
        <f t="shared" si="24"/>
        <v>3702</v>
      </c>
      <c r="U159" s="5">
        <v>2883</v>
      </c>
      <c r="V159" s="6"/>
      <c r="W159" s="5">
        <f t="shared" si="26"/>
        <v>51</v>
      </c>
      <c r="X159" s="5">
        <f>ROUND(W159*9/100,0)</f>
        <v>5</v>
      </c>
      <c r="Y159" s="5">
        <f>X159</f>
        <v>5</v>
      </c>
      <c r="Z159" s="6">
        <f t="shared" si="25"/>
        <v>6646</v>
      </c>
    </row>
    <row r="160" spans="2:26">
      <c r="B160" s="4" t="s">
        <v>484</v>
      </c>
      <c r="C160" s="4" t="s">
        <v>485</v>
      </c>
      <c r="D160" s="4" t="s">
        <v>486</v>
      </c>
      <c r="E160" s="4" t="s">
        <v>25</v>
      </c>
      <c r="F160" s="5">
        <v>383</v>
      </c>
      <c r="G160" s="5">
        <v>35</v>
      </c>
      <c r="H160" s="5">
        <v>893</v>
      </c>
      <c r="I160" s="5">
        <v>803</v>
      </c>
      <c r="J160" s="5">
        <v>315</v>
      </c>
      <c r="K160" s="5">
        <v>100</v>
      </c>
      <c r="L160" s="5">
        <v>100</v>
      </c>
      <c r="M160" s="5">
        <v>17</v>
      </c>
      <c r="N160" s="5">
        <v>635</v>
      </c>
      <c r="O160" s="6"/>
      <c r="P160" s="6">
        <f t="shared" si="20"/>
        <v>1028</v>
      </c>
      <c r="Q160" s="6">
        <f t="shared" si="21"/>
        <v>100</v>
      </c>
      <c r="R160" s="6">
        <f t="shared" si="22"/>
        <v>9</v>
      </c>
      <c r="S160" s="6">
        <f t="shared" si="23"/>
        <v>9</v>
      </c>
      <c r="T160" s="6">
        <f t="shared" si="24"/>
        <v>3299</v>
      </c>
      <c r="U160" s="6"/>
      <c r="V160" s="6"/>
      <c r="W160" s="5"/>
      <c r="X160" s="5"/>
      <c r="Y160" s="5"/>
      <c r="Z160" s="6">
        <f t="shared" si="25"/>
        <v>3299</v>
      </c>
    </row>
    <row r="161" spans="2:26">
      <c r="B161" s="4" t="s">
        <v>487</v>
      </c>
      <c r="C161" s="4" t="s">
        <v>488</v>
      </c>
      <c r="D161" s="4" t="s">
        <v>489</v>
      </c>
      <c r="E161" s="4" t="s">
        <v>25</v>
      </c>
      <c r="F161" s="5">
        <v>399</v>
      </c>
      <c r="G161" s="5">
        <v>35</v>
      </c>
      <c r="H161" s="5">
        <v>893</v>
      </c>
      <c r="I161" s="5">
        <v>803</v>
      </c>
      <c r="J161" s="5">
        <v>315</v>
      </c>
      <c r="K161" s="5">
        <v>300</v>
      </c>
      <c r="L161" s="5">
        <v>100</v>
      </c>
      <c r="M161" s="5">
        <v>17</v>
      </c>
      <c r="N161" s="5">
        <v>635</v>
      </c>
      <c r="O161" s="6"/>
      <c r="P161" s="6">
        <f t="shared" si="20"/>
        <v>1028</v>
      </c>
      <c r="Q161" s="6">
        <f t="shared" si="21"/>
        <v>300</v>
      </c>
      <c r="R161" s="6">
        <f t="shared" si="22"/>
        <v>27</v>
      </c>
      <c r="S161" s="6">
        <f t="shared" si="23"/>
        <v>27</v>
      </c>
      <c r="T161" s="6">
        <f t="shared" si="24"/>
        <v>3551</v>
      </c>
      <c r="U161" s="6"/>
      <c r="V161" s="6"/>
      <c r="W161" s="5"/>
      <c r="X161" s="5"/>
      <c r="Y161" s="5"/>
      <c r="Z161" s="6">
        <f t="shared" si="25"/>
        <v>3551</v>
      </c>
    </row>
    <row r="162" spans="2:26">
      <c r="B162" s="4" t="s">
        <v>490</v>
      </c>
      <c r="C162" s="4" t="s">
        <v>491</v>
      </c>
      <c r="D162" s="4" t="s">
        <v>492</v>
      </c>
      <c r="E162" s="4" t="s">
        <v>25</v>
      </c>
      <c r="F162" s="5">
        <v>389</v>
      </c>
      <c r="G162" s="5">
        <v>35</v>
      </c>
      <c r="H162" s="5">
        <v>893</v>
      </c>
      <c r="I162" s="5">
        <v>803</v>
      </c>
      <c r="J162" s="5">
        <v>315</v>
      </c>
      <c r="K162" s="6"/>
      <c r="L162" s="5">
        <v>100</v>
      </c>
      <c r="M162" s="5">
        <v>17</v>
      </c>
      <c r="N162" s="5">
        <v>635</v>
      </c>
      <c r="O162" s="5">
        <v>99</v>
      </c>
      <c r="P162" s="6">
        <f t="shared" si="20"/>
        <v>1028</v>
      </c>
      <c r="Q162" s="6">
        <f t="shared" si="21"/>
        <v>99</v>
      </c>
      <c r="R162" s="6">
        <f t="shared" si="22"/>
        <v>9</v>
      </c>
      <c r="S162" s="6">
        <f t="shared" si="23"/>
        <v>9</v>
      </c>
      <c r="T162" s="6">
        <f t="shared" si="24"/>
        <v>3304</v>
      </c>
      <c r="U162" s="5">
        <v>40</v>
      </c>
      <c r="V162" s="6"/>
      <c r="W162" s="5">
        <f t="shared" si="26"/>
        <v>1</v>
      </c>
      <c r="X162" s="5">
        <f>ROUND(W162*9/100,0)</f>
        <v>0</v>
      </c>
      <c r="Y162" s="5">
        <f>X162</f>
        <v>0</v>
      </c>
      <c r="Z162" s="6">
        <f t="shared" si="25"/>
        <v>3345</v>
      </c>
    </row>
    <row r="163" spans="2:26">
      <c r="B163" s="4" t="s">
        <v>493</v>
      </c>
      <c r="C163" s="4" t="s">
        <v>494</v>
      </c>
      <c r="D163" s="4" t="s">
        <v>495</v>
      </c>
      <c r="E163" s="4" t="s">
        <v>25</v>
      </c>
      <c r="F163" s="5">
        <v>372</v>
      </c>
      <c r="G163" s="5">
        <v>35</v>
      </c>
      <c r="H163" s="5">
        <v>893</v>
      </c>
      <c r="I163" s="5">
        <v>803</v>
      </c>
      <c r="J163" s="5">
        <v>315</v>
      </c>
      <c r="K163" s="6"/>
      <c r="L163" s="5">
        <v>100</v>
      </c>
      <c r="M163" s="5">
        <v>17</v>
      </c>
      <c r="N163" s="5">
        <v>635</v>
      </c>
      <c r="O163" s="6"/>
      <c r="P163" s="6">
        <f t="shared" si="20"/>
        <v>1028</v>
      </c>
      <c r="Q163" s="6">
        <f t="shared" si="21"/>
        <v>0</v>
      </c>
      <c r="R163" s="6">
        <f t="shared" si="22"/>
        <v>0</v>
      </c>
      <c r="S163" s="6">
        <f t="shared" si="23"/>
        <v>0</v>
      </c>
      <c r="T163" s="6">
        <f t="shared" si="24"/>
        <v>3170</v>
      </c>
      <c r="U163" s="6"/>
      <c r="V163" s="6"/>
      <c r="W163" s="5"/>
      <c r="X163" s="5"/>
      <c r="Y163" s="5"/>
      <c r="Z163" s="6">
        <f t="shared" si="25"/>
        <v>3170</v>
      </c>
    </row>
    <row r="164" spans="2:26">
      <c r="B164" s="4" t="s">
        <v>496</v>
      </c>
      <c r="C164" s="4" t="s">
        <v>497</v>
      </c>
      <c r="D164" s="4" t="s">
        <v>498</v>
      </c>
      <c r="E164" s="4" t="s">
        <v>25</v>
      </c>
      <c r="F164" s="5">
        <v>383</v>
      </c>
      <c r="G164" s="5">
        <v>35</v>
      </c>
      <c r="H164" s="5">
        <v>893</v>
      </c>
      <c r="I164" s="5">
        <v>803</v>
      </c>
      <c r="J164" s="5">
        <v>315</v>
      </c>
      <c r="K164" s="5">
        <v>100</v>
      </c>
      <c r="L164" s="5">
        <v>100</v>
      </c>
      <c r="M164" s="5">
        <v>17</v>
      </c>
      <c r="N164" s="5">
        <v>635</v>
      </c>
      <c r="O164" s="6"/>
      <c r="P164" s="6">
        <f t="shared" si="20"/>
        <v>1028</v>
      </c>
      <c r="Q164" s="6">
        <f t="shared" si="21"/>
        <v>100</v>
      </c>
      <c r="R164" s="6">
        <f t="shared" si="22"/>
        <v>9</v>
      </c>
      <c r="S164" s="6">
        <f t="shared" si="23"/>
        <v>9</v>
      </c>
      <c r="T164" s="6">
        <f t="shared" si="24"/>
        <v>3299</v>
      </c>
      <c r="U164" s="6"/>
      <c r="V164" s="6"/>
      <c r="W164" s="5"/>
      <c r="X164" s="5"/>
      <c r="Y164" s="5"/>
      <c r="Z164" s="6">
        <f t="shared" si="25"/>
        <v>3299</v>
      </c>
    </row>
    <row r="165" spans="2:26">
      <c r="B165" s="4" t="s">
        <v>499</v>
      </c>
      <c r="C165" s="4" t="s">
        <v>500</v>
      </c>
      <c r="D165" s="4" t="s">
        <v>501</v>
      </c>
      <c r="E165" s="4" t="s">
        <v>25</v>
      </c>
      <c r="F165" s="5">
        <v>399</v>
      </c>
      <c r="G165" s="5">
        <v>35</v>
      </c>
      <c r="H165" s="5">
        <v>893</v>
      </c>
      <c r="I165" s="5">
        <v>803</v>
      </c>
      <c r="J165" s="5">
        <v>315</v>
      </c>
      <c r="K165" s="6"/>
      <c r="L165" s="5">
        <v>100</v>
      </c>
      <c r="M165" s="5">
        <v>17</v>
      </c>
      <c r="N165" s="5">
        <v>635</v>
      </c>
      <c r="O165" s="6"/>
      <c r="P165" s="6">
        <f t="shared" si="20"/>
        <v>1028</v>
      </c>
      <c r="Q165" s="6">
        <f t="shared" si="21"/>
        <v>0</v>
      </c>
      <c r="R165" s="6">
        <f t="shared" si="22"/>
        <v>0</v>
      </c>
      <c r="S165" s="6">
        <f t="shared" si="23"/>
        <v>0</v>
      </c>
      <c r="T165" s="6">
        <f t="shared" si="24"/>
        <v>3197</v>
      </c>
      <c r="U165" s="6"/>
      <c r="V165" s="6"/>
      <c r="W165" s="5"/>
      <c r="X165" s="5"/>
      <c r="Y165" s="5"/>
      <c r="Z165" s="6">
        <f t="shared" si="25"/>
        <v>3197</v>
      </c>
    </row>
    <row r="166" spans="2:26">
      <c r="B166" s="4" t="s">
        <v>502</v>
      </c>
      <c r="C166" s="4" t="s">
        <v>503</v>
      </c>
      <c r="D166" s="4" t="s">
        <v>504</v>
      </c>
      <c r="E166" s="4" t="s">
        <v>25</v>
      </c>
      <c r="F166" s="5">
        <v>389</v>
      </c>
      <c r="G166" s="5">
        <v>35</v>
      </c>
      <c r="H166" s="5">
        <v>893</v>
      </c>
      <c r="I166" s="5">
        <v>803</v>
      </c>
      <c r="J166" s="5">
        <v>315</v>
      </c>
      <c r="K166" s="6"/>
      <c r="L166" s="5">
        <v>100</v>
      </c>
      <c r="M166" s="5">
        <v>17</v>
      </c>
      <c r="N166" s="5">
        <v>635</v>
      </c>
      <c r="O166" s="5">
        <v>101</v>
      </c>
      <c r="P166" s="6">
        <f t="shared" si="20"/>
        <v>1028</v>
      </c>
      <c r="Q166" s="6">
        <f t="shared" si="21"/>
        <v>101</v>
      </c>
      <c r="R166" s="6">
        <f t="shared" si="22"/>
        <v>9</v>
      </c>
      <c r="S166" s="6">
        <f t="shared" si="23"/>
        <v>9</v>
      </c>
      <c r="T166" s="6">
        <f t="shared" si="24"/>
        <v>3306</v>
      </c>
      <c r="U166" s="6"/>
      <c r="V166" s="6"/>
      <c r="W166" s="5"/>
      <c r="X166" s="5"/>
      <c r="Y166" s="5"/>
      <c r="Z166" s="6">
        <f t="shared" si="25"/>
        <v>3306</v>
      </c>
    </row>
    <row r="167" spans="2:26">
      <c r="B167" s="4" t="s">
        <v>505</v>
      </c>
      <c r="C167" s="4" t="s">
        <v>506</v>
      </c>
      <c r="D167" s="4" t="s">
        <v>507</v>
      </c>
      <c r="E167" s="4" t="s">
        <v>25</v>
      </c>
      <c r="F167" s="5">
        <v>372</v>
      </c>
      <c r="G167" s="5">
        <v>35</v>
      </c>
      <c r="H167" s="5">
        <v>893</v>
      </c>
      <c r="I167" s="5">
        <v>803</v>
      </c>
      <c r="J167" s="5">
        <v>315</v>
      </c>
      <c r="K167" s="6"/>
      <c r="L167" s="5">
        <v>100</v>
      </c>
      <c r="M167" s="5">
        <v>17</v>
      </c>
      <c r="N167" s="5">
        <v>635</v>
      </c>
      <c r="O167" s="6"/>
      <c r="P167" s="6">
        <f t="shared" si="20"/>
        <v>1028</v>
      </c>
      <c r="Q167" s="6">
        <f t="shared" si="21"/>
        <v>0</v>
      </c>
      <c r="R167" s="6">
        <f t="shared" si="22"/>
        <v>0</v>
      </c>
      <c r="S167" s="6">
        <f t="shared" si="23"/>
        <v>0</v>
      </c>
      <c r="T167" s="6">
        <f t="shared" si="24"/>
        <v>3170</v>
      </c>
      <c r="U167" s="6"/>
      <c r="V167" s="6"/>
      <c r="W167" s="5"/>
      <c r="X167" s="5"/>
      <c r="Y167" s="5"/>
      <c r="Z167" s="6">
        <f t="shared" si="25"/>
        <v>3170</v>
      </c>
    </row>
    <row r="168" spans="2:26">
      <c r="B168" s="4" t="s">
        <v>508</v>
      </c>
      <c r="C168" s="4" t="s">
        <v>509</v>
      </c>
      <c r="D168" s="4" t="s">
        <v>510</v>
      </c>
      <c r="E168" s="4" t="s">
        <v>25</v>
      </c>
      <c r="F168" s="5">
        <v>383</v>
      </c>
      <c r="G168" s="5">
        <v>35</v>
      </c>
      <c r="H168" s="5">
        <v>893</v>
      </c>
      <c r="I168" s="5">
        <v>803</v>
      </c>
      <c r="J168" s="5">
        <v>315</v>
      </c>
      <c r="K168" s="6"/>
      <c r="L168" s="5">
        <v>100</v>
      </c>
      <c r="M168" s="5">
        <v>17</v>
      </c>
      <c r="N168" s="5">
        <v>635</v>
      </c>
      <c r="O168" s="6"/>
      <c r="P168" s="6">
        <f t="shared" si="20"/>
        <v>1028</v>
      </c>
      <c r="Q168" s="6">
        <f t="shared" si="21"/>
        <v>0</v>
      </c>
      <c r="R168" s="6">
        <f t="shared" si="22"/>
        <v>0</v>
      </c>
      <c r="S168" s="6">
        <f t="shared" si="23"/>
        <v>0</v>
      </c>
      <c r="T168" s="6">
        <f t="shared" si="24"/>
        <v>3181</v>
      </c>
      <c r="U168" s="6"/>
      <c r="V168" s="6"/>
      <c r="W168" s="5"/>
      <c r="X168" s="5"/>
      <c r="Y168" s="5"/>
      <c r="Z168" s="6">
        <f t="shared" si="25"/>
        <v>3181</v>
      </c>
    </row>
    <row r="169" spans="2:26">
      <c r="B169" s="4" t="s">
        <v>511</v>
      </c>
      <c r="C169" s="4" t="s">
        <v>512</v>
      </c>
      <c r="D169" s="4" t="s">
        <v>513</v>
      </c>
      <c r="E169" s="4" t="s">
        <v>25</v>
      </c>
      <c r="F169" s="5">
        <v>399</v>
      </c>
      <c r="G169" s="5">
        <v>35</v>
      </c>
      <c r="H169" s="5">
        <v>893</v>
      </c>
      <c r="I169" s="5">
        <v>803</v>
      </c>
      <c r="J169" s="5">
        <v>315</v>
      </c>
      <c r="K169" s="5">
        <v>300</v>
      </c>
      <c r="L169" s="5">
        <v>100</v>
      </c>
      <c r="M169" s="5">
        <v>17</v>
      </c>
      <c r="N169" s="5">
        <v>635</v>
      </c>
      <c r="O169" s="6"/>
      <c r="P169" s="6">
        <f t="shared" si="20"/>
        <v>1028</v>
      </c>
      <c r="Q169" s="6">
        <f t="shared" si="21"/>
        <v>300</v>
      </c>
      <c r="R169" s="6">
        <f t="shared" si="22"/>
        <v>27</v>
      </c>
      <c r="S169" s="6">
        <f t="shared" si="23"/>
        <v>27</v>
      </c>
      <c r="T169" s="6">
        <f t="shared" si="24"/>
        <v>3551</v>
      </c>
      <c r="U169" s="5">
        <v>2910</v>
      </c>
      <c r="V169" s="6"/>
      <c r="W169" s="5">
        <f t="shared" si="26"/>
        <v>52</v>
      </c>
      <c r="X169" s="5">
        <f>ROUND(W169*9/100,0)</f>
        <v>5</v>
      </c>
      <c r="Y169" s="5">
        <f>X169</f>
        <v>5</v>
      </c>
      <c r="Z169" s="6">
        <f t="shared" si="25"/>
        <v>6523</v>
      </c>
    </row>
    <row r="170" spans="2:26">
      <c r="B170" s="4" t="s">
        <v>514</v>
      </c>
      <c r="C170" s="4" t="s">
        <v>515</v>
      </c>
      <c r="D170" s="4" t="s">
        <v>516</v>
      </c>
      <c r="E170" s="4" t="s">
        <v>25</v>
      </c>
      <c r="F170" s="5">
        <v>389</v>
      </c>
      <c r="G170" s="5">
        <v>35</v>
      </c>
      <c r="H170" s="5">
        <v>893</v>
      </c>
      <c r="I170" s="5">
        <v>803</v>
      </c>
      <c r="J170" s="5">
        <v>315</v>
      </c>
      <c r="K170" s="5">
        <v>100</v>
      </c>
      <c r="L170" s="5">
        <v>100</v>
      </c>
      <c r="M170" s="5">
        <v>17</v>
      </c>
      <c r="N170" s="5">
        <v>635</v>
      </c>
      <c r="O170" s="6"/>
      <c r="P170" s="6">
        <f t="shared" si="20"/>
        <v>1028</v>
      </c>
      <c r="Q170" s="6">
        <f t="shared" si="21"/>
        <v>100</v>
      </c>
      <c r="R170" s="6">
        <f t="shared" si="22"/>
        <v>9</v>
      </c>
      <c r="S170" s="6">
        <f t="shared" si="23"/>
        <v>9</v>
      </c>
      <c r="T170" s="6">
        <f t="shared" si="24"/>
        <v>3305</v>
      </c>
      <c r="U170" s="6"/>
      <c r="V170" s="6"/>
      <c r="W170" s="5"/>
      <c r="X170" s="5"/>
      <c r="Y170" s="5"/>
      <c r="Z170" s="6">
        <f t="shared" si="25"/>
        <v>3305</v>
      </c>
    </row>
    <row r="171" spans="2:26">
      <c r="B171" s="4" t="s">
        <v>517</v>
      </c>
      <c r="C171" s="4" t="s">
        <v>518</v>
      </c>
      <c r="D171" s="4" t="s">
        <v>519</v>
      </c>
      <c r="E171" s="4" t="s">
        <v>25</v>
      </c>
      <c r="F171" s="5">
        <v>372</v>
      </c>
      <c r="G171" s="5">
        <v>35</v>
      </c>
      <c r="H171" s="5">
        <v>893</v>
      </c>
      <c r="I171" s="5">
        <v>803</v>
      </c>
      <c r="J171" s="5">
        <v>315</v>
      </c>
      <c r="K171" s="5">
        <v>800</v>
      </c>
      <c r="L171" s="5">
        <v>100</v>
      </c>
      <c r="M171" s="5">
        <v>17</v>
      </c>
      <c r="N171" s="5">
        <v>635</v>
      </c>
      <c r="O171" s="6"/>
      <c r="P171" s="6">
        <f t="shared" si="20"/>
        <v>1028</v>
      </c>
      <c r="Q171" s="6">
        <f t="shared" si="21"/>
        <v>800</v>
      </c>
      <c r="R171" s="6">
        <f t="shared" si="22"/>
        <v>72</v>
      </c>
      <c r="S171" s="6">
        <f t="shared" si="23"/>
        <v>72</v>
      </c>
      <c r="T171" s="6">
        <f t="shared" si="24"/>
        <v>4114</v>
      </c>
      <c r="U171" s="6"/>
      <c r="V171" s="6"/>
      <c r="W171" s="5"/>
      <c r="X171" s="5"/>
      <c r="Y171" s="5"/>
      <c r="Z171" s="6">
        <f t="shared" si="25"/>
        <v>4114</v>
      </c>
    </row>
    <row r="172" spans="2:26">
      <c r="B172" s="4" t="s">
        <v>520</v>
      </c>
      <c r="C172" s="4" t="s">
        <v>521</v>
      </c>
      <c r="D172" s="4" t="s">
        <v>522</v>
      </c>
      <c r="E172" s="4" t="s">
        <v>25</v>
      </c>
      <c r="F172" s="5">
        <v>383</v>
      </c>
      <c r="G172" s="5">
        <v>35</v>
      </c>
      <c r="H172" s="5">
        <v>893</v>
      </c>
      <c r="I172" s="5">
        <v>803</v>
      </c>
      <c r="J172" s="5">
        <v>315</v>
      </c>
      <c r="K172" s="5">
        <v>300</v>
      </c>
      <c r="L172" s="5">
        <v>100</v>
      </c>
      <c r="M172" s="5">
        <v>17</v>
      </c>
      <c r="N172" s="5">
        <v>635</v>
      </c>
      <c r="O172" s="6"/>
      <c r="P172" s="6">
        <f t="shared" si="20"/>
        <v>1028</v>
      </c>
      <c r="Q172" s="6">
        <f t="shared" si="21"/>
        <v>300</v>
      </c>
      <c r="R172" s="6">
        <f t="shared" si="22"/>
        <v>27</v>
      </c>
      <c r="S172" s="6">
        <f t="shared" si="23"/>
        <v>27</v>
      </c>
      <c r="T172" s="6">
        <f t="shared" si="24"/>
        <v>3535</v>
      </c>
      <c r="U172" s="6"/>
      <c r="V172" s="6"/>
      <c r="W172" s="5"/>
      <c r="X172" s="5"/>
      <c r="Y172" s="5"/>
      <c r="Z172" s="6">
        <f t="shared" si="25"/>
        <v>3535</v>
      </c>
    </row>
    <row r="173" spans="2:26">
      <c r="B173" s="4" t="s">
        <v>523</v>
      </c>
      <c r="C173" s="4" t="s">
        <v>524</v>
      </c>
      <c r="D173" s="4" t="s">
        <v>525</v>
      </c>
      <c r="E173" s="4" t="s">
        <v>25</v>
      </c>
      <c r="F173" s="5">
        <v>399</v>
      </c>
      <c r="G173" s="5">
        <v>35</v>
      </c>
      <c r="H173" s="5">
        <v>893</v>
      </c>
      <c r="I173" s="5">
        <v>803</v>
      </c>
      <c r="J173" s="5">
        <v>315</v>
      </c>
      <c r="K173" s="5">
        <v>300</v>
      </c>
      <c r="L173" s="5">
        <v>100</v>
      </c>
      <c r="M173" s="5">
        <v>17</v>
      </c>
      <c r="N173" s="5">
        <v>635</v>
      </c>
      <c r="O173" s="6"/>
      <c r="P173" s="6">
        <f t="shared" si="20"/>
        <v>1028</v>
      </c>
      <c r="Q173" s="6">
        <f t="shared" si="21"/>
        <v>300</v>
      </c>
      <c r="R173" s="6">
        <f t="shared" si="22"/>
        <v>27</v>
      </c>
      <c r="S173" s="6">
        <f t="shared" si="23"/>
        <v>27</v>
      </c>
      <c r="T173" s="6">
        <f t="shared" si="24"/>
        <v>3551</v>
      </c>
      <c r="U173" s="6"/>
      <c r="V173" s="6"/>
      <c r="W173" s="5"/>
      <c r="X173" s="5"/>
      <c r="Y173" s="5"/>
      <c r="Z173" s="6">
        <f t="shared" si="25"/>
        <v>3551</v>
      </c>
    </row>
    <row r="174" spans="2:26">
      <c r="B174" s="4" t="s">
        <v>526</v>
      </c>
      <c r="C174" s="4" t="s">
        <v>527</v>
      </c>
      <c r="D174" s="4" t="s">
        <v>528</v>
      </c>
      <c r="E174" s="4" t="s">
        <v>25</v>
      </c>
      <c r="F174" s="5">
        <v>389</v>
      </c>
      <c r="G174" s="5">
        <v>35</v>
      </c>
      <c r="H174" s="5">
        <v>893</v>
      </c>
      <c r="I174" s="5">
        <v>803</v>
      </c>
      <c r="J174" s="5">
        <v>315</v>
      </c>
      <c r="K174" s="6"/>
      <c r="L174" s="5">
        <v>100</v>
      </c>
      <c r="M174" s="5">
        <v>17</v>
      </c>
      <c r="N174" s="5">
        <v>635</v>
      </c>
      <c r="O174" s="6"/>
      <c r="P174" s="6">
        <f t="shared" si="20"/>
        <v>1028</v>
      </c>
      <c r="Q174" s="6">
        <f t="shared" si="21"/>
        <v>0</v>
      </c>
      <c r="R174" s="6">
        <f t="shared" si="22"/>
        <v>0</v>
      </c>
      <c r="S174" s="6">
        <f t="shared" si="23"/>
        <v>0</v>
      </c>
      <c r="T174" s="6">
        <f t="shared" si="24"/>
        <v>3187</v>
      </c>
      <c r="U174" s="6"/>
      <c r="V174" s="6"/>
      <c r="W174" s="5"/>
      <c r="X174" s="5"/>
      <c r="Y174" s="5"/>
      <c r="Z174" s="6">
        <f t="shared" si="25"/>
        <v>3187</v>
      </c>
    </row>
    <row r="175" spans="2:26">
      <c r="B175" s="4" t="s">
        <v>529</v>
      </c>
      <c r="C175" s="4" t="s">
        <v>530</v>
      </c>
      <c r="D175" s="4" t="s">
        <v>531</v>
      </c>
      <c r="E175" s="4" t="s">
        <v>25</v>
      </c>
      <c r="F175" s="5">
        <v>390</v>
      </c>
      <c r="G175" s="5">
        <v>35</v>
      </c>
      <c r="H175" s="5">
        <v>893</v>
      </c>
      <c r="I175" s="5">
        <v>803</v>
      </c>
      <c r="J175" s="5">
        <v>315</v>
      </c>
      <c r="K175" s="6"/>
      <c r="L175" s="5">
        <v>100</v>
      </c>
      <c r="M175" s="5">
        <v>17</v>
      </c>
      <c r="N175" s="5">
        <v>635</v>
      </c>
      <c r="O175" s="5">
        <v>99</v>
      </c>
      <c r="P175" s="6">
        <f t="shared" si="20"/>
        <v>1028</v>
      </c>
      <c r="Q175" s="6">
        <f t="shared" si="21"/>
        <v>99</v>
      </c>
      <c r="R175" s="6">
        <f t="shared" si="22"/>
        <v>9</v>
      </c>
      <c r="S175" s="6">
        <f t="shared" si="23"/>
        <v>9</v>
      </c>
      <c r="T175" s="6">
        <f t="shared" si="24"/>
        <v>3305</v>
      </c>
      <c r="U175" s="6"/>
      <c r="V175" s="6"/>
      <c r="W175" s="5"/>
      <c r="X175" s="5"/>
      <c r="Y175" s="5"/>
      <c r="Z175" s="6">
        <f t="shared" si="25"/>
        <v>3305</v>
      </c>
    </row>
    <row r="176" spans="2:26">
      <c r="B176" s="4" t="s">
        <v>532</v>
      </c>
      <c r="C176" s="4" t="s">
        <v>533</v>
      </c>
      <c r="D176" s="4" t="s">
        <v>534</v>
      </c>
      <c r="E176" s="4" t="s">
        <v>25</v>
      </c>
      <c r="F176" s="5">
        <v>401</v>
      </c>
      <c r="G176" s="5">
        <v>35</v>
      </c>
      <c r="H176" s="5">
        <v>893</v>
      </c>
      <c r="I176" s="5">
        <v>803</v>
      </c>
      <c r="J176" s="5">
        <v>315</v>
      </c>
      <c r="K176" s="6"/>
      <c r="L176" s="5">
        <v>100</v>
      </c>
      <c r="M176" s="5">
        <v>17</v>
      </c>
      <c r="N176" s="5">
        <v>635</v>
      </c>
      <c r="O176" s="6"/>
      <c r="P176" s="6">
        <f t="shared" si="20"/>
        <v>1028</v>
      </c>
      <c r="Q176" s="6">
        <f t="shared" si="21"/>
        <v>0</v>
      </c>
      <c r="R176" s="6">
        <f t="shared" si="22"/>
        <v>0</v>
      </c>
      <c r="S176" s="6">
        <f t="shared" si="23"/>
        <v>0</v>
      </c>
      <c r="T176" s="6">
        <f t="shared" si="24"/>
        <v>3199</v>
      </c>
      <c r="U176" s="6"/>
      <c r="V176" s="6"/>
      <c r="W176" s="5"/>
      <c r="X176" s="5"/>
      <c r="Y176" s="5"/>
      <c r="Z176" s="6">
        <f t="shared" si="25"/>
        <v>3199</v>
      </c>
    </row>
    <row r="177" spans="2:26">
      <c r="B177" s="4" t="s">
        <v>535</v>
      </c>
      <c r="C177" s="4" t="s">
        <v>536</v>
      </c>
      <c r="D177" s="4" t="s">
        <v>537</v>
      </c>
      <c r="E177" s="4" t="s">
        <v>25</v>
      </c>
      <c r="F177" s="5">
        <v>418</v>
      </c>
      <c r="G177" s="5">
        <v>35</v>
      </c>
      <c r="H177" s="5">
        <v>893</v>
      </c>
      <c r="I177" s="5">
        <v>803</v>
      </c>
      <c r="J177" s="5">
        <v>315</v>
      </c>
      <c r="K177" s="5">
        <v>300</v>
      </c>
      <c r="L177" s="5">
        <v>100</v>
      </c>
      <c r="M177" s="5">
        <v>17</v>
      </c>
      <c r="N177" s="5">
        <v>635</v>
      </c>
      <c r="O177" s="6"/>
      <c r="P177" s="6">
        <f t="shared" si="20"/>
        <v>1028</v>
      </c>
      <c r="Q177" s="6">
        <f t="shared" si="21"/>
        <v>300</v>
      </c>
      <c r="R177" s="6">
        <f t="shared" si="22"/>
        <v>27</v>
      </c>
      <c r="S177" s="6">
        <f t="shared" si="23"/>
        <v>27</v>
      </c>
      <c r="T177" s="6">
        <f t="shared" si="24"/>
        <v>3570</v>
      </c>
      <c r="U177" s="6"/>
      <c r="V177" s="6"/>
      <c r="W177" s="5"/>
      <c r="X177" s="5"/>
      <c r="Y177" s="5"/>
      <c r="Z177" s="6">
        <f t="shared" si="25"/>
        <v>3570</v>
      </c>
    </row>
    <row r="178" spans="2:26">
      <c r="B178" s="4" t="s">
        <v>538</v>
      </c>
      <c r="C178" s="4" t="s">
        <v>539</v>
      </c>
      <c r="D178" s="4" t="s">
        <v>540</v>
      </c>
      <c r="E178" s="4" t="s">
        <v>25</v>
      </c>
      <c r="F178" s="5">
        <v>407</v>
      </c>
      <c r="G178" s="5">
        <v>35</v>
      </c>
      <c r="H178" s="5">
        <v>893</v>
      </c>
      <c r="I178" s="5">
        <v>803</v>
      </c>
      <c r="J178" s="5">
        <v>315</v>
      </c>
      <c r="K178" s="6"/>
      <c r="L178" s="5">
        <v>100</v>
      </c>
      <c r="M178" s="5">
        <v>17</v>
      </c>
      <c r="N178" s="5">
        <v>635</v>
      </c>
      <c r="O178" s="6"/>
      <c r="P178" s="6">
        <f t="shared" si="20"/>
        <v>1028</v>
      </c>
      <c r="Q178" s="6">
        <f t="shared" si="21"/>
        <v>0</v>
      </c>
      <c r="R178" s="6">
        <f t="shared" si="22"/>
        <v>0</v>
      </c>
      <c r="S178" s="6">
        <f t="shared" si="23"/>
        <v>0</v>
      </c>
      <c r="T178" s="6">
        <f t="shared" si="24"/>
        <v>3205</v>
      </c>
      <c r="U178" s="6"/>
      <c r="V178" s="6"/>
      <c r="W178" s="5"/>
      <c r="X178" s="5"/>
      <c r="Y178" s="5"/>
      <c r="Z178" s="6">
        <f t="shared" si="25"/>
        <v>3205</v>
      </c>
    </row>
    <row r="179" spans="2:26">
      <c r="B179" s="4" t="s">
        <v>541</v>
      </c>
      <c r="C179" s="4" t="s">
        <v>542</v>
      </c>
      <c r="D179" s="4" t="s">
        <v>543</v>
      </c>
      <c r="E179" s="4" t="s">
        <v>25</v>
      </c>
      <c r="F179" s="5">
        <v>390</v>
      </c>
      <c r="G179" s="5">
        <v>35</v>
      </c>
      <c r="H179" s="5">
        <v>893</v>
      </c>
      <c r="I179" s="5">
        <v>803</v>
      </c>
      <c r="J179" s="5">
        <v>315</v>
      </c>
      <c r="K179" s="5">
        <v>100</v>
      </c>
      <c r="L179" s="5">
        <v>100</v>
      </c>
      <c r="M179" s="5">
        <v>17</v>
      </c>
      <c r="N179" s="5">
        <v>635</v>
      </c>
      <c r="O179" s="6"/>
      <c r="P179" s="6">
        <f t="shared" si="20"/>
        <v>1028</v>
      </c>
      <c r="Q179" s="6">
        <f t="shared" si="21"/>
        <v>100</v>
      </c>
      <c r="R179" s="6">
        <f t="shared" si="22"/>
        <v>9</v>
      </c>
      <c r="S179" s="6">
        <f t="shared" si="23"/>
        <v>9</v>
      </c>
      <c r="T179" s="6">
        <f t="shared" si="24"/>
        <v>3306</v>
      </c>
      <c r="U179" s="6"/>
      <c r="V179" s="6"/>
      <c r="W179" s="5"/>
      <c r="X179" s="5"/>
      <c r="Y179" s="5"/>
      <c r="Z179" s="6">
        <f t="shared" si="25"/>
        <v>3306</v>
      </c>
    </row>
    <row r="180" spans="2:26">
      <c r="B180" s="4" t="s">
        <v>544</v>
      </c>
      <c r="C180" s="4" t="s">
        <v>545</v>
      </c>
      <c r="D180" s="4" t="s">
        <v>546</v>
      </c>
      <c r="E180" s="4" t="s">
        <v>25</v>
      </c>
      <c r="F180" s="5">
        <v>401</v>
      </c>
      <c r="G180" s="5">
        <v>35</v>
      </c>
      <c r="H180" s="5">
        <v>893</v>
      </c>
      <c r="I180" s="5">
        <v>803</v>
      </c>
      <c r="J180" s="5">
        <v>315</v>
      </c>
      <c r="K180" s="5">
        <v>100</v>
      </c>
      <c r="L180" s="5">
        <v>100</v>
      </c>
      <c r="M180" s="5">
        <v>17</v>
      </c>
      <c r="N180" s="5">
        <v>635</v>
      </c>
      <c r="O180" s="6"/>
      <c r="P180" s="6">
        <f t="shared" si="20"/>
        <v>1028</v>
      </c>
      <c r="Q180" s="6">
        <f t="shared" si="21"/>
        <v>100</v>
      </c>
      <c r="R180" s="6">
        <f t="shared" si="22"/>
        <v>9</v>
      </c>
      <c r="S180" s="6">
        <f t="shared" si="23"/>
        <v>9</v>
      </c>
      <c r="T180" s="6">
        <f t="shared" si="24"/>
        <v>3317</v>
      </c>
      <c r="U180" s="6"/>
      <c r="V180" s="6"/>
      <c r="W180" s="5"/>
      <c r="X180" s="5"/>
      <c r="Y180" s="5"/>
      <c r="Z180" s="6">
        <f t="shared" si="25"/>
        <v>3317</v>
      </c>
    </row>
    <row r="181" spans="2:26">
      <c r="B181" s="4" t="s">
        <v>547</v>
      </c>
      <c r="C181" s="4" t="s">
        <v>548</v>
      </c>
      <c r="D181" s="4" t="s">
        <v>549</v>
      </c>
      <c r="E181" s="4" t="s">
        <v>25</v>
      </c>
      <c r="F181" s="5">
        <v>436</v>
      </c>
      <c r="G181" s="5">
        <v>35</v>
      </c>
      <c r="H181" s="5">
        <v>893</v>
      </c>
      <c r="I181" s="5">
        <v>803</v>
      </c>
      <c r="J181" s="5">
        <v>315</v>
      </c>
      <c r="K181" s="5">
        <v>200</v>
      </c>
      <c r="L181" s="5">
        <v>100</v>
      </c>
      <c r="M181" s="5">
        <v>17</v>
      </c>
      <c r="N181" s="5">
        <v>635</v>
      </c>
      <c r="O181" s="5">
        <v>99</v>
      </c>
      <c r="P181" s="6">
        <f t="shared" si="20"/>
        <v>1028</v>
      </c>
      <c r="Q181" s="6">
        <f t="shared" si="21"/>
        <v>299</v>
      </c>
      <c r="R181" s="6">
        <f t="shared" si="22"/>
        <v>27</v>
      </c>
      <c r="S181" s="6">
        <f t="shared" si="23"/>
        <v>27</v>
      </c>
      <c r="T181" s="6">
        <f t="shared" si="24"/>
        <v>3587</v>
      </c>
      <c r="U181" s="6"/>
      <c r="V181" s="6"/>
      <c r="W181" s="5"/>
      <c r="X181" s="5"/>
      <c r="Y181" s="5"/>
      <c r="Z181" s="6">
        <f t="shared" si="25"/>
        <v>3587</v>
      </c>
    </row>
    <row r="182" spans="2:26">
      <c r="B182" s="4" t="s">
        <v>550</v>
      </c>
      <c r="C182" s="4" t="s">
        <v>551</v>
      </c>
      <c r="D182" s="4" t="s">
        <v>552</v>
      </c>
      <c r="E182" s="4" t="s">
        <v>25</v>
      </c>
      <c r="F182" s="5">
        <v>436</v>
      </c>
      <c r="G182" s="5">
        <v>35</v>
      </c>
      <c r="H182" s="5">
        <v>893</v>
      </c>
      <c r="I182" s="5">
        <v>803</v>
      </c>
      <c r="J182" s="5">
        <v>315</v>
      </c>
      <c r="K182" s="6"/>
      <c r="L182" s="5">
        <v>100</v>
      </c>
      <c r="M182" s="5">
        <v>17</v>
      </c>
      <c r="N182" s="5">
        <v>635</v>
      </c>
      <c r="O182" s="5">
        <v>99</v>
      </c>
      <c r="P182" s="6">
        <f t="shared" si="20"/>
        <v>1028</v>
      </c>
      <c r="Q182" s="6">
        <f t="shared" si="21"/>
        <v>99</v>
      </c>
      <c r="R182" s="6">
        <f t="shared" si="22"/>
        <v>9</v>
      </c>
      <c r="S182" s="6">
        <f t="shared" si="23"/>
        <v>9</v>
      </c>
      <c r="T182" s="6">
        <f t="shared" si="24"/>
        <v>3351</v>
      </c>
      <c r="U182" s="6"/>
      <c r="V182" s="6"/>
      <c r="W182" s="5"/>
      <c r="X182" s="5"/>
      <c r="Y182" s="5"/>
      <c r="Z182" s="6">
        <f t="shared" si="25"/>
        <v>3351</v>
      </c>
    </row>
    <row r="183" spans="2:26">
      <c r="B183" s="4" t="s">
        <v>553</v>
      </c>
      <c r="C183" s="4" t="s">
        <v>554</v>
      </c>
      <c r="D183" s="4" t="s">
        <v>555</v>
      </c>
      <c r="E183" s="4" t="s">
        <v>25</v>
      </c>
      <c r="F183" s="5">
        <v>390</v>
      </c>
      <c r="G183" s="5">
        <v>35</v>
      </c>
      <c r="H183" s="5">
        <v>893</v>
      </c>
      <c r="I183" s="5">
        <v>803</v>
      </c>
      <c r="J183" s="5">
        <v>315</v>
      </c>
      <c r="K183" s="5">
        <v>100</v>
      </c>
      <c r="L183" s="5">
        <v>100</v>
      </c>
      <c r="M183" s="5">
        <v>17</v>
      </c>
      <c r="N183" s="5">
        <v>635</v>
      </c>
      <c r="O183" s="6"/>
      <c r="P183" s="6">
        <f t="shared" si="20"/>
        <v>1028</v>
      </c>
      <c r="Q183" s="6">
        <f t="shared" si="21"/>
        <v>100</v>
      </c>
      <c r="R183" s="6">
        <f t="shared" si="22"/>
        <v>9</v>
      </c>
      <c r="S183" s="6">
        <f t="shared" si="23"/>
        <v>9</v>
      </c>
      <c r="T183" s="6">
        <f t="shared" si="24"/>
        <v>3306</v>
      </c>
      <c r="U183" s="5">
        <v>5330</v>
      </c>
      <c r="V183" s="5">
        <v>51</v>
      </c>
      <c r="W183" s="5">
        <f t="shared" si="26"/>
        <v>95</v>
      </c>
      <c r="X183" s="5">
        <f>ROUND(W183*9/100,0)</f>
        <v>9</v>
      </c>
      <c r="Y183" s="5">
        <f>X183</f>
        <v>9</v>
      </c>
      <c r="Z183" s="6">
        <f t="shared" si="25"/>
        <v>8800</v>
      </c>
    </row>
    <row r="184" spans="2:26">
      <c r="B184" s="4" t="s">
        <v>556</v>
      </c>
      <c r="C184" s="4" t="s">
        <v>557</v>
      </c>
      <c r="D184" s="4" t="s">
        <v>558</v>
      </c>
      <c r="E184" s="4" t="s">
        <v>25</v>
      </c>
      <c r="F184" s="5">
        <v>401</v>
      </c>
      <c r="G184" s="5">
        <v>35</v>
      </c>
      <c r="H184" s="5">
        <v>893</v>
      </c>
      <c r="I184" s="5">
        <v>803</v>
      </c>
      <c r="J184" s="5">
        <v>315</v>
      </c>
      <c r="K184" s="5">
        <v>100</v>
      </c>
      <c r="L184" s="5">
        <v>100</v>
      </c>
      <c r="M184" s="5">
        <v>17</v>
      </c>
      <c r="N184" s="5">
        <v>635</v>
      </c>
      <c r="O184" s="6"/>
      <c r="P184" s="6">
        <f t="shared" si="20"/>
        <v>1028</v>
      </c>
      <c r="Q184" s="6">
        <f t="shared" si="21"/>
        <v>100</v>
      </c>
      <c r="R184" s="6">
        <f t="shared" si="22"/>
        <v>9</v>
      </c>
      <c r="S184" s="6">
        <f t="shared" si="23"/>
        <v>9</v>
      </c>
      <c r="T184" s="6">
        <f t="shared" si="24"/>
        <v>3317</v>
      </c>
      <c r="U184" s="6"/>
      <c r="V184" s="6"/>
      <c r="W184" s="5"/>
      <c r="X184" s="5"/>
      <c r="Y184" s="5"/>
      <c r="Z184" s="6">
        <f t="shared" si="25"/>
        <v>3317</v>
      </c>
    </row>
    <row r="185" spans="2:26">
      <c r="B185" s="4" t="s">
        <v>559</v>
      </c>
      <c r="C185" s="4" t="s">
        <v>560</v>
      </c>
      <c r="D185" s="4" t="s">
        <v>561</v>
      </c>
      <c r="E185" s="4" t="s">
        <v>25</v>
      </c>
      <c r="F185" s="5">
        <v>436</v>
      </c>
      <c r="G185" s="5">
        <v>35</v>
      </c>
      <c r="H185" s="5">
        <v>893</v>
      </c>
      <c r="I185" s="5">
        <v>803</v>
      </c>
      <c r="J185" s="5">
        <v>315</v>
      </c>
      <c r="K185" s="6"/>
      <c r="L185" s="5">
        <v>100</v>
      </c>
      <c r="M185" s="5">
        <v>17</v>
      </c>
      <c r="N185" s="5">
        <v>635</v>
      </c>
      <c r="O185" s="6"/>
      <c r="P185" s="6">
        <f t="shared" si="20"/>
        <v>1028</v>
      </c>
      <c r="Q185" s="6">
        <f t="shared" si="21"/>
        <v>0</v>
      </c>
      <c r="R185" s="6">
        <f t="shared" si="22"/>
        <v>0</v>
      </c>
      <c r="S185" s="6">
        <f t="shared" si="23"/>
        <v>0</v>
      </c>
      <c r="T185" s="6">
        <f t="shared" si="24"/>
        <v>3234</v>
      </c>
      <c r="U185" s="6"/>
      <c r="V185" s="6"/>
      <c r="W185" s="5"/>
      <c r="X185" s="5"/>
      <c r="Y185" s="5"/>
      <c r="Z185" s="6">
        <f t="shared" si="25"/>
        <v>3234</v>
      </c>
    </row>
    <row r="186" spans="2:26">
      <c r="B186" s="4" t="s">
        <v>562</v>
      </c>
      <c r="C186" s="4" t="s">
        <v>563</v>
      </c>
      <c r="D186" s="4" t="s">
        <v>564</v>
      </c>
      <c r="E186" s="4" t="s">
        <v>25</v>
      </c>
      <c r="F186" s="5">
        <v>436</v>
      </c>
      <c r="G186" s="5">
        <v>35</v>
      </c>
      <c r="H186" s="5">
        <v>893</v>
      </c>
      <c r="I186" s="5">
        <v>803</v>
      </c>
      <c r="J186" s="5">
        <v>315</v>
      </c>
      <c r="K186" s="6"/>
      <c r="L186" s="5">
        <v>100</v>
      </c>
      <c r="M186" s="5">
        <v>17</v>
      </c>
      <c r="N186" s="5">
        <v>635</v>
      </c>
      <c r="O186" s="6"/>
      <c r="P186" s="6">
        <f t="shared" si="20"/>
        <v>1028</v>
      </c>
      <c r="Q186" s="6">
        <f t="shared" si="21"/>
        <v>0</v>
      </c>
      <c r="R186" s="6">
        <f t="shared" si="22"/>
        <v>0</v>
      </c>
      <c r="S186" s="6">
        <f t="shared" si="23"/>
        <v>0</v>
      </c>
      <c r="T186" s="6">
        <f t="shared" si="24"/>
        <v>3234</v>
      </c>
      <c r="U186" s="6"/>
      <c r="V186" s="6"/>
      <c r="W186" s="5"/>
      <c r="X186" s="5"/>
      <c r="Y186" s="5"/>
      <c r="Z186" s="6">
        <f t="shared" si="25"/>
        <v>3234</v>
      </c>
    </row>
    <row r="187" spans="2:26">
      <c r="B187" s="4" t="s">
        <v>565</v>
      </c>
      <c r="C187" s="4" t="s">
        <v>566</v>
      </c>
      <c r="D187" s="4" t="s">
        <v>567</v>
      </c>
      <c r="E187" s="4" t="s">
        <v>25</v>
      </c>
      <c r="F187" s="5">
        <v>390</v>
      </c>
      <c r="G187" s="5">
        <v>35</v>
      </c>
      <c r="H187" s="5">
        <v>893</v>
      </c>
      <c r="I187" s="5">
        <v>803</v>
      </c>
      <c r="J187" s="5">
        <v>315</v>
      </c>
      <c r="K187" s="5">
        <v>300</v>
      </c>
      <c r="L187" s="5">
        <v>100</v>
      </c>
      <c r="M187" s="5">
        <v>17</v>
      </c>
      <c r="N187" s="5">
        <v>635</v>
      </c>
      <c r="O187" s="6"/>
      <c r="P187" s="6">
        <f t="shared" si="20"/>
        <v>1028</v>
      </c>
      <c r="Q187" s="6">
        <f t="shared" si="21"/>
        <v>300</v>
      </c>
      <c r="R187" s="6">
        <f t="shared" si="22"/>
        <v>27</v>
      </c>
      <c r="S187" s="6">
        <f t="shared" si="23"/>
        <v>27</v>
      </c>
      <c r="T187" s="6">
        <f t="shared" si="24"/>
        <v>3542</v>
      </c>
      <c r="U187" s="6"/>
      <c r="V187" s="6"/>
      <c r="W187" s="5"/>
      <c r="X187" s="5"/>
      <c r="Y187" s="5"/>
      <c r="Z187" s="6">
        <f t="shared" si="25"/>
        <v>3542</v>
      </c>
    </row>
    <row r="188" spans="2:26">
      <c r="B188" s="4" t="s">
        <v>568</v>
      </c>
      <c r="C188" s="4" t="s">
        <v>569</v>
      </c>
      <c r="D188" s="4" t="s">
        <v>570</v>
      </c>
      <c r="E188" s="4" t="s">
        <v>25</v>
      </c>
      <c r="F188" s="5">
        <v>401</v>
      </c>
      <c r="G188" s="5">
        <v>35</v>
      </c>
      <c r="H188" s="5">
        <v>893</v>
      </c>
      <c r="I188" s="5">
        <v>803</v>
      </c>
      <c r="J188" s="5">
        <v>315</v>
      </c>
      <c r="K188" s="6"/>
      <c r="L188" s="5">
        <v>100</v>
      </c>
      <c r="M188" s="5">
        <v>17</v>
      </c>
      <c r="N188" s="5">
        <v>635</v>
      </c>
      <c r="O188" s="5">
        <v>99</v>
      </c>
      <c r="P188" s="6">
        <f t="shared" si="20"/>
        <v>1028</v>
      </c>
      <c r="Q188" s="6">
        <f t="shared" si="21"/>
        <v>99</v>
      </c>
      <c r="R188" s="6">
        <f t="shared" si="22"/>
        <v>9</v>
      </c>
      <c r="S188" s="6">
        <f t="shared" si="23"/>
        <v>9</v>
      </c>
      <c r="T188" s="6">
        <f t="shared" si="24"/>
        <v>3316</v>
      </c>
      <c r="U188" s="5">
        <v>-1401</v>
      </c>
      <c r="V188" s="6"/>
      <c r="W188" s="5"/>
      <c r="X188" s="5"/>
      <c r="Y188" s="5"/>
      <c r="Z188" s="6">
        <f t="shared" si="25"/>
        <v>1915</v>
      </c>
    </row>
    <row r="189" spans="2:26">
      <c r="B189" s="4" t="s">
        <v>571</v>
      </c>
      <c r="C189" s="4" t="s">
        <v>572</v>
      </c>
      <c r="D189" s="4" t="s">
        <v>573</v>
      </c>
      <c r="E189" s="4" t="s">
        <v>25</v>
      </c>
      <c r="F189" s="5">
        <v>418</v>
      </c>
      <c r="G189" s="5">
        <v>35</v>
      </c>
      <c r="H189" s="5">
        <v>893</v>
      </c>
      <c r="I189" s="5">
        <v>803</v>
      </c>
      <c r="J189" s="5">
        <v>315</v>
      </c>
      <c r="K189" s="6"/>
      <c r="L189" s="5">
        <v>100</v>
      </c>
      <c r="M189" s="5">
        <v>17</v>
      </c>
      <c r="N189" s="5">
        <v>635</v>
      </c>
      <c r="O189" s="6"/>
      <c r="P189" s="6">
        <f t="shared" si="20"/>
        <v>1028</v>
      </c>
      <c r="Q189" s="6">
        <f t="shared" si="21"/>
        <v>0</v>
      </c>
      <c r="R189" s="6">
        <f t="shared" si="22"/>
        <v>0</v>
      </c>
      <c r="S189" s="6">
        <f t="shared" si="23"/>
        <v>0</v>
      </c>
      <c r="T189" s="6">
        <f t="shared" si="24"/>
        <v>3216</v>
      </c>
      <c r="U189" s="6"/>
      <c r="V189" s="6"/>
      <c r="W189" s="5"/>
      <c r="X189" s="5"/>
      <c r="Y189" s="5"/>
      <c r="Z189" s="6">
        <f t="shared" si="25"/>
        <v>3216</v>
      </c>
    </row>
    <row r="190" spans="2:26">
      <c r="B190" s="4" t="s">
        <v>574</v>
      </c>
      <c r="C190" s="4" t="s">
        <v>575</v>
      </c>
      <c r="D190" s="4" t="s">
        <v>576</v>
      </c>
      <c r="E190" s="4" t="s">
        <v>25</v>
      </c>
      <c r="F190" s="5">
        <v>407</v>
      </c>
      <c r="G190" s="5">
        <v>35</v>
      </c>
      <c r="H190" s="5">
        <v>893</v>
      </c>
      <c r="I190" s="5">
        <v>803</v>
      </c>
      <c r="J190" s="5">
        <v>315</v>
      </c>
      <c r="K190" s="6"/>
      <c r="L190" s="5">
        <v>100</v>
      </c>
      <c r="M190" s="5">
        <v>17</v>
      </c>
      <c r="N190" s="5">
        <v>635</v>
      </c>
      <c r="O190" s="5">
        <v>99</v>
      </c>
      <c r="P190" s="6">
        <f t="shared" si="20"/>
        <v>1028</v>
      </c>
      <c r="Q190" s="6">
        <f t="shared" si="21"/>
        <v>99</v>
      </c>
      <c r="R190" s="6">
        <f t="shared" si="22"/>
        <v>9</v>
      </c>
      <c r="S190" s="6">
        <f t="shared" si="23"/>
        <v>9</v>
      </c>
      <c r="T190" s="6">
        <f t="shared" si="24"/>
        <v>3322</v>
      </c>
      <c r="U190" s="6"/>
      <c r="V190" s="6"/>
      <c r="W190" s="5"/>
      <c r="X190" s="5"/>
      <c r="Y190" s="5"/>
      <c r="Z190" s="6">
        <f t="shared" si="25"/>
        <v>3322</v>
      </c>
    </row>
    <row r="191" spans="2:26">
      <c r="B191" s="4" t="s">
        <v>577</v>
      </c>
      <c r="C191" s="4" t="s">
        <v>578</v>
      </c>
      <c r="D191" s="4" t="s">
        <v>579</v>
      </c>
      <c r="E191" s="4" t="s">
        <v>25</v>
      </c>
      <c r="F191" s="5">
        <v>964</v>
      </c>
      <c r="G191" s="5">
        <v>17</v>
      </c>
      <c r="H191" s="5">
        <v>865</v>
      </c>
      <c r="I191" s="5">
        <v>400</v>
      </c>
      <c r="J191" s="5">
        <v>315</v>
      </c>
      <c r="K191" s="6"/>
      <c r="L191" s="5">
        <v>69</v>
      </c>
      <c r="M191" s="5">
        <v>14</v>
      </c>
      <c r="N191" s="5">
        <v>1205</v>
      </c>
      <c r="O191" s="5">
        <v>86</v>
      </c>
      <c r="P191" s="6">
        <f t="shared" si="20"/>
        <v>951</v>
      </c>
      <c r="Q191" s="6">
        <f t="shared" si="21"/>
        <v>86</v>
      </c>
      <c r="R191" s="6">
        <f t="shared" si="22"/>
        <v>8</v>
      </c>
      <c r="S191" s="6">
        <f t="shared" si="23"/>
        <v>8</v>
      </c>
      <c r="T191" s="6">
        <f t="shared" si="24"/>
        <v>3951</v>
      </c>
      <c r="U191" s="6"/>
      <c r="V191" s="6"/>
      <c r="W191" s="5"/>
      <c r="X191" s="5"/>
      <c r="Y191" s="5"/>
      <c r="Z191" s="6">
        <f t="shared" si="25"/>
        <v>3951</v>
      </c>
    </row>
    <row r="192" spans="2:26">
      <c r="B192" s="4" t="s">
        <v>580</v>
      </c>
      <c r="C192" s="4" t="s">
        <v>581</v>
      </c>
      <c r="D192" s="4" t="s">
        <v>582</v>
      </c>
      <c r="E192" s="4" t="s">
        <v>25</v>
      </c>
      <c r="F192" s="5">
        <v>650</v>
      </c>
      <c r="G192" s="5">
        <v>12</v>
      </c>
      <c r="H192" s="5">
        <v>845</v>
      </c>
      <c r="I192" s="5">
        <v>400</v>
      </c>
      <c r="J192" s="5">
        <v>315</v>
      </c>
      <c r="K192" s="6"/>
      <c r="L192" s="5">
        <v>47</v>
      </c>
      <c r="M192" s="5">
        <v>14</v>
      </c>
      <c r="N192" s="5">
        <v>1205</v>
      </c>
      <c r="O192" s="6"/>
      <c r="P192" s="6">
        <f t="shared" si="20"/>
        <v>904</v>
      </c>
      <c r="Q192" s="6">
        <f t="shared" si="21"/>
        <v>0</v>
      </c>
      <c r="R192" s="6">
        <f t="shared" si="22"/>
        <v>0</v>
      </c>
      <c r="S192" s="6">
        <f t="shared" si="23"/>
        <v>0</v>
      </c>
      <c r="T192" s="6">
        <f t="shared" si="24"/>
        <v>3488</v>
      </c>
      <c r="U192" s="6"/>
      <c r="V192" s="6"/>
      <c r="W192" s="5"/>
      <c r="X192" s="5"/>
      <c r="Y192" s="5"/>
      <c r="Z192" s="6">
        <f t="shared" si="25"/>
        <v>3488</v>
      </c>
    </row>
    <row r="193" spans="2:26">
      <c r="B193" s="4" t="s">
        <v>583</v>
      </c>
      <c r="C193" s="4" t="s">
        <v>584</v>
      </c>
      <c r="D193" s="4" t="s">
        <v>585</v>
      </c>
      <c r="E193" s="4" t="s">
        <v>25</v>
      </c>
      <c r="F193" s="5">
        <v>566</v>
      </c>
      <c r="G193" s="5">
        <v>10</v>
      </c>
      <c r="H193" s="5">
        <v>834</v>
      </c>
      <c r="I193" s="5">
        <v>400</v>
      </c>
      <c r="J193" s="5">
        <v>315</v>
      </c>
      <c r="K193" s="6"/>
      <c r="L193" s="5">
        <v>40</v>
      </c>
      <c r="M193" s="5">
        <v>14</v>
      </c>
      <c r="N193" s="5">
        <v>1205</v>
      </c>
      <c r="O193" s="5">
        <v>93</v>
      </c>
      <c r="P193" s="6">
        <f t="shared" si="20"/>
        <v>884</v>
      </c>
      <c r="Q193" s="6">
        <f t="shared" si="21"/>
        <v>93</v>
      </c>
      <c r="R193" s="6">
        <f t="shared" si="22"/>
        <v>8</v>
      </c>
      <c r="S193" s="6">
        <f t="shared" si="23"/>
        <v>8</v>
      </c>
      <c r="T193" s="6">
        <f t="shared" si="24"/>
        <v>3493</v>
      </c>
      <c r="U193" s="5">
        <v>189576</v>
      </c>
      <c r="V193" s="5">
        <v>105450</v>
      </c>
      <c r="W193" s="5">
        <f t="shared" si="26"/>
        <v>3381</v>
      </c>
      <c r="X193" s="5">
        <f t="shared" ref="X193:X194" si="29">ROUND(W193*9/100,0)</f>
        <v>304</v>
      </c>
      <c r="Y193" s="5">
        <f t="shared" ref="Y193:Y194" si="30">X193</f>
        <v>304</v>
      </c>
      <c r="Z193" s="6">
        <f t="shared" si="25"/>
        <v>302508</v>
      </c>
    </row>
    <row r="194" spans="2:26">
      <c r="B194" s="4" t="s">
        <v>586</v>
      </c>
      <c r="C194" s="4" t="s">
        <v>587</v>
      </c>
      <c r="D194" s="4" t="s">
        <v>588</v>
      </c>
      <c r="E194" s="4" t="s">
        <v>25</v>
      </c>
      <c r="F194" s="5">
        <v>757</v>
      </c>
      <c r="G194" s="5">
        <v>12</v>
      </c>
      <c r="H194" s="5">
        <v>843</v>
      </c>
      <c r="I194" s="5">
        <v>400</v>
      </c>
      <c r="J194" s="5">
        <v>315</v>
      </c>
      <c r="K194" s="5">
        <v>700</v>
      </c>
      <c r="L194" s="5">
        <v>54</v>
      </c>
      <c r="M194" s="5">
        <v>14</v>
      </c>
      <c r="N194" s="5">
        <v>1205</v>
      </c>
      <c r="O194" s="5">
        <v>94</v>
      </c>
      <c r="P194" s="6">
        <f t="shared" si="20"/>
        <v>909</v>
      </c>
      <c r="Q194" s="6">
        <f t="shared" si="21"/>
        <v>794</v>
      </c>
      <c r="R194" s="6">
        <f t="shared" si="22"/>
        <v>71</v>
      </c>
      <c r="S194" s="6">
        <f t="shared" si="23"/>
        <v>71</v>
      </c>
      <c r="T194" s="6">
        <f t="shared" si="24"/>
        <v>4536</v>
      </c>
      <c r="U194" s="5">
        <v>171456</v>
      </c>
      <c r="V194" s="5">
        <v>82022</v>
      </c>
      <c r="W194" s="5">
        <f t="shared" si="26"/>
        <v>3058</v>
      </c>
      <c r="X194" s="5">
        <f t="shared" si="29"/>
        <v>275</v>
      </c>
      <c r="Y194" s="5">
        <f t="shared" si="30"/>
        <v>275</v>
      </c>
      <c r="Z194" s="6">
        <f t="shared" si="25"/>
        <v>261622</v>
      </c>
    </row>
    <row r="195" spans="2:26">
      <c r="B195" s="4" t="s">
        <v>589</v>
      </c>
      <c r="C195" s="4" t="s">
        <v>590</v>
      </c>
      <c r="D195" s="4" t="s">
        <v>591</v>
      </c>
      <c r="E195" s="4" t="s">
        <v>25</v>
      </c>
      <c r="F195" s="5">
        <v>964</v>
      </c>
      <c r="G195" s="5">
        <v>17</v>
      </c>
      <c r="H195" s="5">
        <v>865</v>
      </c>
      <c r="I195" s="5">
        <v>400</v>
      </c>
      <c r="J195" s="5">
        <v>315</v>
      </c>
      <c r="K195" s="6"/>
      <c r="L195" s="5">
        <v>69</v>
      </c>
      <c r="M195" s="5">
        <v>14</v>
      </c>
      <c r="N195" s="5">
        <v>1205</v>
      </c>
      <c r="O195" s="6"/>
      <c r="P195" s="6">
        <f t="shared" si="20"/>
        <v>951</v>
      </c>
      <c r="Q195" s="6">
        <f t="shared" si="21"/>
        <v>0</v>
      </c>
      <c r="R195" s="6">
        <f t="shared" si="22"/>
        <v>0</v>
      </c>
      <c r="S195" s="6">
        <f t="shared" si="23"/>
        <v>0</v>
      </c>
      <c r="T195" s="6">
        <f t="shared" si="24"/>
        <v>3849</v>
      </c>
      <c r="U195" s="6"/>
      <c r="V195" s="6"/>
      <c r="W195" s="5"/>
      <c r="X195" s="5"/>
      <c r="Y195" s="5"/>
      <c r="Z195" s="6">
        <f t="shared" si="25"/>
        <v>3849</v>
      </c>
    </row>
    <row r="196" spans="2:26">
      <c r="B196" s="4" t="s">
        <v>592</v>
      </c>
      <c r="C196" s="4" t="s">
        <v>593</v>
      </c>
      <c r="D196" s="4" t="s">
        <v>594</v>
      </c>
      <c r="E196" s="4" t="s">
        <v>25</v>
      </c>
      <c r="F196" s="5">
        <v>1057</v>
      </c>
      <c r="G196" s="5">
        <v>10</v>
      </c>
      <c r="H196" s="5">
        <v>834</v>
      </c>
      <c r="I196" s="5">
        <v>400</v>
      </c>
      <c r="J196" s="5">
        <v>315</v>
      </c>
      <c r="K196" s="6"/>
      <c r="L196" s="5">
        <v>38</v>
      </c>
      <c r="M196" s="5">
        <v>14</v>
      </c>
      <c r="N196" s="5">
        <v>1205</v>
      </c>
      <c r="O196" s="5">
        <v>93</v>
      </c>
      <c r="P196" s="6">
        <f t="shared" si="20"/>
        <v>882</v>
      </c>
      <c r="Q196" s="6">
        <f t="shared" si="21"/>
        <v>93</v>
      </c>
      <c r="R196" s="6">
        <f t="shared" si="22"/>
        <v>8</v>
      </c>
      <c r="S196" s="6">
        <f t="shared" si="23"/>
        <v>8</v>
      </c>
      <c r="T196" s="6">
        <f t="shared" si="24"/>
        <v>3982</v>
      </c>
      <c r="U196" s="5">
        <v>8322</v>
      </c>
      <c r="V196" s="5">
        <v>162</v>
      </c>
      <c r="W196" s="5">
        <f t="shared" si="26"/>
        <v>148</v>
      </c>
      <c r="X196" s="5">
        <f>ROUND(W196*9/100,0)</f>
        <v>13</v>
      </c>
      <c r="Y196" s="5">
        <f>X196</f>
        <v>13</v>
      </c>
      <c r="Z196" s="6">
        <f t="shared" si="25"/>
        <v>12640</v>
      </c>
    </row>
    <row r="197" spans="2:26">
      <c r="B197" s="4" t="s">
        <v>595</v>
      </c>
      <c r="C197" s="4" t="s">
        <v>596</v>
      </c>
      <c r="D197" s="4" t="s">
        <v>597</v>
      </c>
      <c r="E197" s="4" t="s">
        <v>25</v>
      </c>
      <c r="F197" s="5">
        <v>754</v>
      </c>
      <c r="G197" s="5">
        <v>10</v>
      </c>
      <c r="H197" s="5">
        <v>834</v>
      </c>
      <c r="I197" s="5">
        <v>400</v>
      </c>
      <c r="J197" s="5">
        <v>315</v>
      </c>
      <c r="K197" s="6"/>
      <c r="L197" s="5">
        <v>54</v>
      </c>
      <c r="M197" s="5">
        <v>14</v>
      </c>
      <c r="N197" s="5">
        <v>1205</v>
      </c>
      <c r="O197" s="5">
        <v>90</v>
      </c>
      <c r="P197" s="6">
        <f t="shared" si="20"/>
        <v>898</v>
      </c>
      <c r="Q197" s="6">
        <f t="shared" si="21"/>
        <v>90</v>
      </c>
      <c r="R197" s="6">
        <f t="shared" si="22"/>
        <v>8</v>
      </c>
      <c r="S197" s="6">
        <f t="shared" si="23"/>
        <v>8</v>
      </c>
      <c r="T197" s="6">
        <f t="shared" si="24"/>
        <v>3692</v>
      </c>
      <c r="U197" s="6"/>
      <c r="V197" s="6"/>
      <c r="W197" s="5"/>
      <c r="X197" s="5"/>
      <c r="Y197" s="5"/>
      <c r="Z197" s="6">
        <f t="shared" si="25"/>
        <v>3692</v>
      </c>
    </row>
    <row r="198" spans="2:26">
      <c r="B198" s="4" t="s">
        <v>598</v>
      </c>
      <c r="C198" s="4" t="s">
        <v>599</v>
      </c>
      <c r="D198" s="4" t="s">
        <v>600</v>
      </c>
      <c r="E198" s="4" t="s">
        <v>25</v>
      </c>
      <c r="F198" s="5">
        <v>922</v>
      </c>
      <c r="G198" s="5">
        <v>16</v>
      </c>
      <c r="H198" s="5">
        <v>861</v>
      </c>
      <c r="I198" s="5">
        <v>400</v>
      </c>
      <c r="J198" s="5">
        <v>315</v>
      </c>
      <c r="K198" s="6"/>
      <c r="L198" s="5">
        <v>66</v>
      </c>
      <c r="M198" s="5">
        <v>14</v>
      </c>
      <c r="N198" s="5">
        <v>1205</v>
      </c>
      <c r="O198" s="5">
        <v>86</v>
      </c>
      <c r="P198" s="6">
        <f t="shared" si="20"/>
        <v>943</v>
      </c>
      <c r="Q198" s="6">
        <f t="shared" si="21"/>
        <v>86</v>
      </c>
      <c r="R198" s="6">
        <f t="shared" si="22"/>
        <v>8</v>
      </c>
      <c r="S198" s="6">
        <f t="shared" si="23"/>
        <v>8</v>
      </c>
      <c r="T198" s="6">
        <f t="shared" si="24"/>
        <v>3901</v>
      </c>
      <c r="U198" s="5">
        <v>2693</v>
      </c>
      <c r="V198" s="6"/>
      <c r="W198" s="5">
        <f t="shared" si="26"/>
        <v>48</v>
      </c>
      <c r="X198" s="5">
        <f t="shared" ref="X198:X199" si="31">ROUND(W198*9/100,0)</f>
        <v>4</v>
      </c>
      <c r="Y198" s="5">
        <f t="shared" ref="Y198:Y199" si="32">X198</f>
        <v>4</v>
      </c>
      <c r="Z198" s="6">
        <f t="shared" si="25"/>
        <v>6650</v>
      </c>
    </row>
    <row r="199" spans="2:26">
      <c r="B199" s="4" t="s">
        <v>601</v>
      </c>
      <c r="C199" s="4" t="s">
        <v>602</v>
      </c>
      <c r="D199" s="4" t="s">
        <v>603</v>
      </c>
      <c r="E199" s="4" t="s">
        <v>25</v>
      </c>
      <c r="F199" s="5">
        <v>692</v>
      </c>
      <c r="G199" s="5">
        <v>12</v>
      </c>
      <c r="H199" s="5">
        <v>843</v>
      </c>
      <c r="I199" s="5">
        <v>400</v>
      </c>
      <c r="J199" s="5">
        <v>315</v>
      </c>
      <c r="K199" s="6"/>
      <c r="L199" s="5">
        <v>50</v>
      </c>
      <c r="M199" s="5">
        <v>14</v>
      </c>
      <c r="N199" s="5">
        <v>1205</v>
      </c>
      <c r="O199" s="6"/>
      <c r="P199" s="6">
        <f t="shared" si="20"/>
        <v>905</v>
      </c>
      <c r="Q199" s="6">
        <f t="shared" si="21"/>
        <v>0</v>
      </c>
      <c r="R199" s="6">
        <f t="shared" si="22"/>
        <v>0</v>
      </c>
      <c r="S199" s="6">
        <f t="shared" si="23"/>
        <v>0</v>
      </c>
      <c r="T199" s="6">
        <f t="shared" si="24"/>
        <v>3531</v>
      </c>
      <c r="U199" s="5">
        <v>32347</v>
      </c>
      <c r="V199" s="5">
        <v>1154</v>
      </c>
      <c r="W199" s="5">
        <f t="shared" si="26"/>
        <v>577</v>
      </c>
      <c r="X199" s="5">
        <f t="shared" si="31"/>
        <v>52</v>
      </c>
      <c r="Y199" s="5">
        <f t="shared" si="32"/>
        <v>52</v>
      </c>
      <c r="Z199" s="6">
        <f t="shared" si="25"/>
        <v>37713</v>
      </c>
    </row>
    <row r="200" spans="2:26">
      <c r="B200" s="4" t="s">
        <v>604</v>
      </c>
      <c r="C200" s="4" t="s">
        <v>605</v>
      </c>
      <c r="D200" s="4" t="s">
        <v>606</v>
      </c>
      <c r="E200" s="4" t="s">
        <v>25</v>
      </c>
      <c r="F200" s="5">
        <v>939</v>
      </c>
      <c r="G200" s="5">
        <v>17</v>
      </c>
      <c r="H200" s="5">
        <v>865</v>
      </c>
      <c r="I200" s="5">
        <v>400</v>
      </c>
      <c r="J200" s="5">
        <v>315</v>
      </c>
      <c r="K200" s="5">
        <v>300</v>
      </c>
      <c r="L200" s="5">
        <v>68</v>
      </c>
      <c r="M200" s="5">
        <v>14</v>
      </c>
      <c r="N200" s="5">
        <v>1205</v>
      </c>
      <c r="O200" s="6"/>
      <c r="P200" s="6">
        <f t="shared" ref="P200" si="33">G200+H200+L200</f>
        <v>950</v>
      </c>
      <c r="Q200" s="6">
        <f t="shared" ref="Q200" si="34">K200+O200</f>
        <v>300</v>
      </c>
      <c r="R200" s="6">
        <f t="shared" ref="R200" si="35">ROUND(Q200*9/100,0)</f>
        <v>27</v>
      </c>
      <c r="S200" s="6">
        <f t="shared" ref="S200" si="36">R200</f>
        <v>27</v>
      </c>
      <c r="T200" s="6">
        <f t="shared" ref="T200" si="37">F200+G200+H200+I200+J200+K200+L200+M200+N200+O200+R200+S200</f>
        <v>4177</v>
      </c>
      <c r="U200" s="6"/>
      <c r="V200" s="6"/>
      <c r="W200" s="5"/>
      <c r="X200" s="5"/>
      <c r="Y200" s="5"/>
      <c r="Z200" s="6">
        <f t="shared" ref="Z200" si="38">T200+U200+V200+W200+X200+Y200</f>
        <v>4177</v>
      </c>
    </row>
    <row r="201" spans="2:26">
      <c r="B201" s="7" t="s">
        <v>24</v>
      </c>
      <c r="C201" s="7" t="s">
        <v>24</v>
      </c>
      <c r="D201" s="7" t="s">
        <v>607</v>
      </c>
      <c r="E201" s="7" t="s">
        <v>24</v>
      </c>
      <c r="F201" s="8">
        <f>SUM(F7:F200)</f>
        <v>111387</v>
      </c>
      <c r="G201" s="8">
        <f t="shared" ref="G201:Z201" si="39">SUM(G7:G200)</f>
        <v>9093</v>
      </c>
      <c r="H201" s="8">
        <f t="shared" si="39"/>
        <v>175553</v>
      </c>
      <c r="I201" s="8">
        <f t="shared" si="39"/>
        <v>153784</v>
      </c>
      <c r="J201" s="8">
        <f t="shared" si="39"/>
        <v>61110</v>
      </c>
      <c r="K201" s="8">
        <f t="shared" si="39"/>
        <v>39300</v>
      </c>
      <c r="L201" s="8">
        <f t="shared" si="39"/>
        <v>25835</v>
      </c>
      <c r="M201" s="8">
        <f t="shared" si="39"/>
        <v>3268</v>
      </c>
      <c r="N201" s="8">
        <f t="shared" si="39"/>
        <v>128890</v>
      </c>
      <c r="O201" s="8">
        <f t="shared" si="39"/>
        <v>4370</v>
      </c>
      <c r="P201" s="8">
        <f t="shared" si="39"/>
        <v>210481</v>
      </c>
      <c r="Q201" s="8">
        <f t="shared" si="39"/>
        <v>43670</v>
      </c>
      <c r="R201" s="8">
        <f t="shared" si="39"/>
        <v>3939</v>
      </c>
      <c r="S201" s="8">
        <f t="shared" si="39"/>
        <v>3939</v>
      </c>
      <c r="T201" s="8">
        <f t="shared" si="39"/>
        <v>720468</v>
      </c>
      <c r="U201" s="8">
        <f t="shared" si="39"/>
        <v>678944</v>
      </c>
      <c r="V201" s="8">
        <f t="shared" si="39"/>
        <v>262596</v>
      </c>
      <c r="W201" s="8">
        <f t="shared" si="39"/>
        <v>13076</v>
      </c>
      <c r="X201" s="8">
        <f t="shared" si="39"/>
        <v>1178</v>
      </c>
      <c r="Y201" s="8">
        <f t="shared" si="39"/>
        <v>1178</v>
      </c>
      <c r="Z201" s="8">
        <f t="shared" si="39"/>
        <v>1677440</v>
      </c>
    </row>
    <row r="202" spans="2:26">
      <c r="Z202">
        <v>1677440</v>
      </c>
    </row>
    <row r="203" spans="2:26">
      <c r="Z203" s="12">
        <f>Z201-Z202</f>
        <v>0</v>
      </c>
    </row>
  </sheetData>
  <mergeCells count="3">
    <mergeCell ref="B2:Z2"/>
    <mergeCell ref="B3:Z3"/>
    <mergeCell ref="F5:H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 Bills Register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2021-04-14T12:31:02Z</dcterms:created>
  <dcterms:modified xsi:type="dcterms:W3CDTF">2021-04-23T07:31:58Z</dcterms:modified>
</cp:coreProperties>
</file>